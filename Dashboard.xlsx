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115cba32a3de59/Desktop/Datasets/Projects to do/controlandtestgroupanalysisformarketing/"/>
    </mc:Choice>
  </mc:AlternateContent>
  <xr:revisionPtr revIDLastSave="225" documentId="8_{BC57FC6C-68AB-4657-B451-D559AFD37FDE}" xr6:coauthVersionLast="47" xr6:coauthVersionMax="47" xr10:uidLastSave="{AF1FD1D9-2E48-4A82-A0EC-BA98EA947E19}"/>
  <bookViews>
    <workbookView xWindow="28680" yWindow="-120" windowWidth="16440" windowHeight="28440" firstSheet="1" activeTab="3" xr2:uid="{0C503C92-ACCF-452C-870A-F4B107C2D302}"/>
  </bookViews>
  <sheets>
    <sheet name="data_source" sheetId="6" state="hidden" r:id="rId1"/>
    <sheet name="stat_results" sheetId="7" r:id="rId2"/>
    <sheet name="template" sheetId="2" r:id="rId3"/>
    <sheet name="Executive_Summary" sheetId="9" r:id="rId4"/>
    <sheet name="Sheet6" sheetId="8" state="hidden" r:id="rId5"/>
  </sheets>
  <definedNames>
    <definedName name="ExternalData_1" localSheetId="0" hidden="1">data_source!$A$1:$Q$61</definedName>
    <definedName name="ExternalData_2" localSheetId="1" hidden="1">stat_results!$A$1:$J$5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2" l="1"/>
  <c r="H51" i="2"/>
  <c r="G52" i="2"/>
  <c r="H52" i="2"/>
  <c r="G53" i="2"/>
  <c r="H53" i="2"/>
  <c r="G54" i="2"/>
  <c r="H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3D844B-172D-4C36-88E1-2FDA73C2FA92}" keepAlive="1" name="Query - experiment_dataset" description="Connection to the 'experiment_dataset' query in the workbook." type="5" refreshedVersion="8" background="1" saveData="1">
    <dbPr connection="Provider=Microsoft.Mashup.OleDb.1;Data Source=$Workbook$;Location=experiment_dataset;Extended Properties=&quot;&quot;" command="SELECT * FROM [experiment_dataset]"/>
  </connection>
  <connection id="2" xr16:uid="{EE490A87-AE5E-4891-874C-1D36DC71166D}" keepAlive="1" name="Query - experiment_results" description="Connection to the 'experiment_results' query in the workbook." type="5" refreshedVersion="8" background="1" saveData="1">
    <dbPr connection="Provider=Microsoft.Mashup.OleDb.1;Data Source=$Workbook$;Location=experiment_results;Extended Properties=&quot;&quot;" command="SELECT * FROM [experiment_results]"/>
  </connection>
</connections>
</file>

<file path=xl/sharedStrings.xml><?xml version="1.0" encoding="utf-8"?>
<sst xmlns="http://schemas.openxmlformats.org/spreadsheetml/2006/main" count="114" uniqueCount="37">
  <si>
    <t>campaign_name</t>
  </si>
  <si>
    <t>date</t>
  </si>
  <si>
    <t>is_test</t>
  </si>
  <si>
    <t>spend_usd</t>
  </si>
  <si>
    <t>impressions</t>
  </si>
  <si>
    <t>reach</t>
  </si>
  <si>
    <t>website_clicks</t>
  </si>
  <si>
    <t>searches</t>
  </si>
  <si>
    <t>view_content</t>
  </si>
  <si>
    <t>add_to_cart</t>
  </si>
  <si>
    <t>purchase</t>
  </si>
  <si>
    <t>ctr</t>
  </si>
  <si>
    <t>view_content_rate</t>
  </si>
  <si>
    <t>add_to_cart_rate</t>
  </si>
  <si>
    <t>purchase_rate_click</t>
  </si>
  <si>
    <t>purchase_rate_impression</t>
  </si>
  <si>
    <t xml:space="preserve">cost_per_purchase </t>
  </si>
  <si>
    <t>Control Campaign</t>
  </si>
  <si>
    <t>Test Campaign</t>
  </si>
  <si>
    <t>metric</t>
  </si>
  <si>
    <t>control_mean</t>
  </si>
  <si>
    <t>test_mean</t>
  </si>
  <si>
    <t>absolute_lift</t>
  </si>
  <si>
    <t>percent_lift</t>
  </si>
  <si>
    <t>t_pvalue</t>
  </si>
  <si>
    <t>mw_pvalue</t>
  </si>
  <si>
    <t>cohens_d</t>
  </si>
  <si>
    <t>ci_lower</t>
  </si>
  <si>
    <t>ci_upper</t>
  </si>
  <si>
    <t xml:space="preserve">
</t>
  </si>
  <si>
    <t>Row Labels</t>
  </si>
  <si>
    <t>Grand Total</t>
  </si>
  <si>
    <t>Column Labels</t>
  </si>
  <si>
    <t>Average of purchase_rate_click</t>
  </si>
  <si>
    <t>Positive</t>
  </si>
  <si>
    <t>Negative</t>
  </si>
  <si>
    <t>Executive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</si>
</sst>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  <font>
      <u/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3" xfId="0" applyFont="1" applyFill="1" applyBorder="1"/>
    <xf numFmtId="0" fontId="0" fillId="3" borderId="3" xfId="0" applyFont="1" applyFill="1" applyBorder="1"/>
    <xf numFmtId="0" fontId="0" fillId="0" borderId="3" xfId="0" applyFont="1" applyBorder="1"/>
    <xf numFmtId="0" fontId="0" fillId="0" borderId="0" xfId="0" applyAlignment="1">
      <alignment wrapText="1"/>
    </xf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2" borderId="0" xfId="0" applyFont="1" applyFill="1" applyBorder="1"/>
    <xf numFmtId="0" fontId="0" fillId="4" borderId="0" xfId="0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Funnel Performance: Control vs Test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template!$B$14</c:f>
              <c:strCache>
                <c:ptCount val="1"/>
                <c:pt idx="0">
                  <c:v>control_mean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template!$A$15:$A$18</c:f>
              <c:strCache>
                <c:ptCount val="4"/>
                <c:pt idx="0">
                  <c:v>ctr</c:v>
                </c:pt>
                <c:pt idx="1">
                  <c:v>purchase_rate_click</c:v>
                </c:pt>
                <c:pt idx="2">
                  <c:v>purchase_rate_impression</c:v>
                </c:pt>
                <c:pt idx="3">
                  <c:v>cost_per_purchase </c:v>
                </c:pt>
              </c:strCache>
            </c:strRef>
          </c:cat>
          <c:val>
            <c:numRef>
              <c:f>template!$B$15:$B$18</c:f>
              <c:numCache>
                <c:formatCode>General</c:formatCode>
                <c:ptCount val="4"/>
                <c:pt idx="0">
                  <c:v>5.0999999999999997E-2</c:v>
                </c:pt>
                <c:pt idx="1">
                  <c:v>0.1148</c:v>
                </c:pt>
                <c:pt idx="2">
                  <c:v>5.0000000000000001E-3</c:v>
                </c:pt>
                <c:pt idx="3">
                  <c:v>5.0522999999999998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5-487B-A46A-673F65491D6D}"/>
            </c:ext>
          </c:extLst>
        </c:ser>
        <c:ser>
          <c:idx val="1"/>
          <c:order val="1"/>
          <c:tx>
            <c:strRef>
              <c:f>template!$C$14</c:f>
              <c:strCache>
                <c:ptCount val="1"/>
                <c:pt idx="0">
                  <c:v>test_mean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template!$A$15:$A$18</c:f>
              <c:strCache>
                <c:ptCount val="4"/>
                <c:pt idx="0">
                  <c:v>ctr</c:v>
                </c:pt>
                <c:pt idx="1">
                  <c:v>purchase_rate_click</c:v>
                </c:pt>
                <c:pt idx="2">
                  <c:v>purchase_rate_impression</c:v>
                </c:pt>
                <c:pt idx="3">
                  <c:v>cost_per_purchase </c:v>
                </c:pt>
              </c:strCache>
            </c:strRef>
          </c:cat>
          <c:val>
            <c:numRef>
              <c:f>template!$C$15:$C$18</c:f>
              <c:numCache>
                <c:formatCode>General</c:formatCode>
                <c:ptCount val="4"/>
                <c:pt idx="0">
                  <c:v>0.1024</c:v>
                </c:pt>
                <c:pt idx="1">
                  <c:v>9.2299999999999993E-2</c:v>
                </c:pt>
                <c:pt idx="2">
                  <c:v>8.3999999999999995E-3</c:v>
                </c:pt>
                <c:pt idx="3">
                  <c:v>5.8996000000000004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5-487B-A46A-673F65491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0904719"/>
        <c:axId val="1920903759"/>
      </c:barChart>
      <c:catAx>
        <c:axId val="192090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903759"/>
        <c:crosses val="autoZero"/>
        <c:auto val="1"/>
        <c:lblAlgn val="ctr"/>
        <c:lblOffset val="100"/>
        <c:noMultiLvlLbl val="0"/>
      </c:catAx>
      <c:valAx>
        <c:axId val="19209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90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[Dashboard.xlsx]Sheet6!PivotTable3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Sheet6!$A$5:$A$34</c:f>
              <c:strCache>
                <c:ptCount val="30"/>
                <c:pt idx="0">
                  <c:v>2019-08-01</c:v>
                </c:pt>
                <c:pt idx="1">
                  <c:v>2019-08-02</c:v>
                </c:pt>
                <c:pt idx="2">
                  <c:v>2019-08-03</c:v>
                </c:pt>
                <c:pt idx="3">
                  <c:v>2019-08-04</c:v>
                </c:pt>
                <c:pt idx="4">
                  <c:v>2019-08-05</c:v>
                </c:pt>
                <c:pt idx="5">
                  <c:v>2019-08-06</c:v>
                </c:pt>
                <c:pt idx="6">
                  <c:v>2019-08-07</c:v>
                </c:pt>
                <c:pt idx="7">
                  <c:v>2019-08-08</c:v>
                </c:pt>
                <c:pt idx="8">
                  <c:v>2019-08-09</c:v>
                </c:pt>
                <c:pt idx="9">
                  <c:v>2019-08-10</c:v>
                </c:pt>
                <c:pt idx="10">
                  <c:v>2019-08-11</c:v>
                </c:pt>
                <c:pt idx="11">
                  <c:v>2019-08-12</c:v>
                </c:pt>
                <c:pt idx="12">
                  <c:v>2019-08-13</c:v>
                </c:pt>
                <c:pt idx="13">
                  <c:v>2019-08-14</c:v>
                </c:pt>
                <c:pt idx="14">
                  <c:v>2019-08-15</c:v>
                </c:pt>
                <c:pt idx="15">
                  <c:v>2019-08-16</c:v>
                </c:pt>
                <c:pt idx="16">
                  <c:v>2019-08-17</c:v>
                </c:pt>
                <c:pt idx="17">
                  <c:v>2019-08-18</c:v>
                </c:pt>
                <c:pt idx="18">
                  <c:v>2019-08-19</c:v>
                </c:pt>
                <c:pt idx="19">
                  <c:v>2019-08-20</c:v>
                </c:pt>
                <c:pt idx="20">
                  <c:v>2019-08-21</c:v>
                </c:pt>
                <c:pt idx="21">
                  <c:v>2019-08-22</c:v>
                </c:pt>
                <c:pt idx="22">
                  <c:v>2019-08-23</c:v>
                </c:pt>
                <c:pt idx="23">
                  <c:v>2019-08-24</c:v>
                </c:pt>
                <c:pt idx="24">
                  <c:v>2019-08-25</c:v>
                </c:pt>
                <c:pt idx="25">
                  <c:v>2019-08-26</c:v>
                </c:pt>
                <c:pt idx="26">
                  <c:v>2019-08-27</c:v>
                </c:pt>
                <c:pt idx="27">
                  <c:v>2019-08-28</c:v>
                </c:pt>
                <c:pt idx="28">
                  <c:v>2019-08-29</c:v>
                </c:pt>
                <c:pt idx="29">
                  <c:v>2019-08-30</c:v>
                </c:pt>
              </c:strCache>
            </c:strRef>
          </c:cat>
          <c:val>
            <c:numRef>
              <c:f>Sheet6!$B$5:$B$34</c:f>
              <c:numCache>
                <c:formatCode>General</c:formatCode>
                <c:ptCount val="30"/>
                <c:pt idx="0">
                  <c:v>8.8084379000000004E-2</c:v>
                </c:pt>
                <c:pt idx="1">
                  <c:v>6.3008630999999996E-2</c:v>
                </c:pt>
                <c:pt idx="2">
                  <c:v>5.7160417999999998E-2</c:v>
                </c:pt>
                <c:pt idx="3">
                  <c:v>0.11092985299999999</c:v>
                </c:pt>
                <c:pt idx="5">
                  <c:v>0.18967229399999999</c:v>
                </c:pt>
                <c:pt idx="6">
                  <c:v>0.18901515199999999</c:v>
                </c:pt>
                <c:pt idx="7">
                  <c:v>6.3636364000000001E-2</c:v>
                </c:pt>
                <c:pt idx="8">
                  <c:v>8.0832527000000001E-2</c:v>
                </c:pt>
                <c:pt idx="9">
                  <c:v>0.32235397500000001</c:v>
                </c:pt>
                <c:pt idx="10">
                  <c:v>5.8375323E-2</c:v>
                </c:pt>
                <c:pt idx="11">
                  <c:v>0.265285667</c:v>
                </c:pt>
                <c:pt idx="12">
                  <c:v>0.116875191</c:v>
                </c:pt>
                <c:pt idx="13">
                  <c:v>0.17429772199999999</c:v>
                </c:pt>
                <c:pt idx="14">
                  <c:v>7.4754901999999998E-2</c:v>
                </c:pt>
                <c:pt idx="15">
                  <c:v>8.3843797999999997E-2</c:v>
                </c:pt>
                <c:pt idx="16">
                  <c:v>3.3494267000000001E-2</c:v>
                </c:pt>
                <c:pt idx="17">
                  <c:v>3.3503378E-2</c:v>
                </c:pt>
                <c:pt idx="18">
                  <c:v>0.14624932500000001</c:v>
                </c:pt>
                <c:pt idx="19">
                  <c:v>0.11598138099999999</c:v>
                </c:pt>
                <c:pt idx="20">
                  <c:v>0.14057283400000001</c:v>
                </c:pt>
                <c:pt idx="21">
                  <c:v>5.6554143000000001E-2</c:v>
                </c:pt>
                <c:pt idx="22">
                  <c:v>0.173696145</c:v>
                </c:pt>
                <c:pt idx="23">
                  <c:v>0.14320685399999999</c:v>
                </c:pt>
                <c:pt idx="24">
                  <c:v>9.1166744999999993E-2</c:v>
                </c:pt>
                <c:pt idx="25">
                  <c:v>4.6182152999999997E-2</c:v>
                </c:pt>
                <c:pt idx="26">
                  <c:v>0.12244484899999999</c:v>
                </c:pt>
                <c:pt idx="27">
                  <c:v>0.102274535</c:v>
                </c:pt>
                <c:pt idx="28">
                  <c:v>4.1097575999999997E-2</c:v>
                </c:pt>
                <c:pt idx="29">
                  <c:v>0.14383855700000001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4D-40CD-A244-12E3A0026337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Sheet6!$A$5:$A$34</c:f>
              <c:strCache>
                <c:ptCount val="30"/>
                <c:pt idx="0">
                  <c:v>2019-08-01</c:v>
                </c:pt>
                <c:pt idx="1">
                  <c:v>2019-08-02</c:v>
                </c:pt>
                <c:pt idx="2">
                  <c:v>2019-08-03</c:v>
                </c:pt>
                <c:pt idx="3">
                  <c:v>2019-08-04</c:v>
                </c:pt>
                <c:pt idx="4">
                  <c:v>2019-08-05</c:v>
                </c:pt>
                <c:pt idx="5">
                  <c:v>2019-08-06</c:v>
                </c:pt>
                <c:pt idx="6">
                  <c:v>2019-08-07</c:v>
                </c:pt>
                <c:pt idx="7">
                  <c:v>2019-08-08</c:v>
                </c:pt>
                <c:pt idx="8">
                  <c:v>2019-08-09</c:v>
                </c:pt>
                <c:pt idx="9">
                  <c:v>2019-08-10</c:v>
                </c:pt>
                <c:pt idx="10">
                  <c:v>2019-08-11</c:v>
                </c:pt>
                <c:pt idx="11">
                  <c:v>2019-08-12</c:v>
                </c:pt>
                <c:pt idx="12">
                  <c:v>2019-08-13</c:v>
                </c:pt>
                <c:pt idx="13">
                  <c:v>2019-08-14</c:v>
                </c:pt>
                <c:pt idx="14">
                  <c:v>2019-08-15</c:v>
                </c:pt>
                <c:pt idx="15">
                  <c:v>2019-08-16</c:v>
                </c:pt>
                <c:pt idx="16">
                  <c:v>2019-08-17</c:v>
                </c:pt>
                <c:pt idx="17">
                  <c:v>2019-08-18</c:v>
                </c:pt>
                <c:pt idx="18">
                  <c:v>2019-08-19</c:v>
                </c:pt>
                <c:pt idx="19">
                  <c:v>2019-08-20</c:v>
                </c:pt>
                <c:pt idx="20">
                  <c:v>2019-08-21</c:v>
                </c:pt>
                <c:pt idx="21">
                  <c:v>2019-08-22</c:v>
                </c:pt>
                <c:pt idx="22">
                  <c:v>2019-08-23</c:v>
                </c:pt>
                <c:pt idx="23">
                  <c:v>2019-08-24</c:v>
                </c:pt>
                <c:pt idx="24">
                  <c:v>2019-08-25</c:v>
                </c:pt>
                <c:pt idx="25">
                  <c:v>2019-08-26</c:v>
                </c:pt>
                <c:pt idx="26">
                  <c:v>2019-08-27</c:v>
                </c:pt>
                <c:pt idx="27">
                  <c:v>2019-08-28</c:v>
                </c:pt>
                <c:pt idx="28">
                  <c:v>2019-08-29</c:v>
                </c:pt>
                <c:pt idx="29">
                  <c:v>2019-08-30</c:v>
                </c:pt>
              </c:strCache>
            </c:strRef>
          </c:cat>
          <c:val>
            <c:numRef>
              <c:f>Sheet6!$C$5:$C$34</c:f>
              <c:numCache>
                <c:formatCode>General</c:formatCode>
                <c:ptCount val="30"/>
                <c:pt idx="0">
                  <c:v>8.3936801000000005E-2</c:v>
                </c:pt>
                <c:pt idx="1">
                  <c:v>0.14537255700000001</c:v>
                </c:pt>
                <c:pt idx="2">
                  <c:v>7.3303741000000006E-2</c:v>
                </c:pt>
                <c:pt idx="3">
                  <c:v>8.0645161000000007E-2</c:v>
                </c:pt>
                <c:pt idx="4">
                  <c:v>0.13099095999999999</c:v>
                </c:pt>
                <c:pt idx="5">
                  <c:v>6.5170939999999997E-2</c:v>
                </c:pt>
                <c:pt idx="6">
                  <c:v>0.21085050899999999</c:v>
                </c:pt>
                <c:pt idx="7">
                  <c:v>5.9994432E-2</c:v>
                </c:pt>
                <c:pt idx="8">
                  <c:v>0.102312629</c:v>
                </c:pt>
                <c:pt idx="9">
                  <c:v>3.3846154000000003E-2</c:v>
                </c:pt>
                <c:pt idx="10">
                  <c:v>0.178133333</c:v>
                </c:pt>
                <c:pt idx="11">
                  <c:v>8.5793804000000001E-2</c:v>
                </c:pt>
                <c:pt idx="12">
                  <c:v>0.107293869</c:v>
                </c:pt>
                <c:pt idx="13">
                  <c:v>8.5149010999999997E-2</c:v>
                </c:pt>
                <c:pt idx="14">
                  <c:v>7.9711595999999996E-2</c:v>
                </c:pt>
                <c:pt idx="15">
                  <c:v>7.1617647000000006E-2</c:v>
                </c:pt>
                <c:pt idx="16">
                  <c:v>3.0088495999999999E-2</c:v>
                </c:pt>
                <c:pt idx="17">
                  <c:v>3.7197858E-2</c:v>
                </c:pt>
                <c:pt idx="18">
                  <c:v>6.7218064999999994E-2</c:v>
                </c:pt>
                <c:pt idx="19">
                  <c:v>0.120661157</c:v>
                </c:pt>
                <c:pt idx="20">
                  <c:v>4.4781575999999997E-2</c:v>
                </c:pt>
                <c:pt idx="21">
                  <c:v>6.2288422000000003E-2</c:v>
                </c:pt>
                <c:pt idx="22">
                  <c:v>9.3165255000000002E-2</c:v>
                </c:pt>
                <c:pt idx="23">
                  <c:v>3.7590832999999997E-2</c:v>
                </c:pt>
                <c:pt idx="24">
                  <c:v>0.181034483</c:v>
                </c:pt>
                <c:pt idx="25">
                  <c:v>7.4345549999999996E-2</c:v>
                </c:pt>
                <c:pt idx="26">
                  <c:v>0.11981352000000001</c:v>
                </c:pt>
                <c:pt idx="27">
                  <c:v>8.8531434000000006E-2</c:v>
                </c:pt>
                <c:pt idx="28">
                  <c:v>8.8485165000000005E-2</c:v>
                </c:pt>
                <c:pt idx="29">
                  <c:v>0.13002955199999999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4D-40CD-A244-12E3A0026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626223"/>
        <c:axId val="1911626703"/>
      </c:lineChart>
      <c:catAx>
        <c:axId val="191162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26703"/>
        <c:crosses val="autoZero"/>
        <c:auto val="1"/>
        <c:lblAlgn val="ctr"/>
        <c:lblOffset val="100"/>
        <c:noMultiLvlLbl val="0"/>
      </c:catAx>
      <c:valAx>
        <c:axId val="191162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2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61885358735755E-2"/>
          <c:y val="0.14856481481481484"/>
          <c:w val="0.89547308334709907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template!$D$50</c:f>
              <c:strCache>
                <c:ptCount val="1"/>
                <c:pt idx="0">
                  <c:v>absolute_lift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template!$G$51:$G$54</c:f>
                <c:numCache>
                  <c:formatCode>General</c:formatCode>
                  <c:ptCount val="4"/>
                  <c:pt idx="0">
                    <c:v>1.4683999999999999</c:v>
                  </c:pt>
                  <c:pt idx="1">
                    <c:v>3.9E-2</c:v>
                  </c:pt>
                  <c:pt idx="2">
                    <c:v>1.1052</c:v>
                  </c:pt>
                  <c:pt idx="3">
                    <c:v>1.0209000000000001</c:v>
                  </c:pt>
                </c:numCache>
              </c:numRef>
            </c:plus>
            <c:minus>
              <c:numRef>
                <c:f>template!$H$51:$H$54</c:f>
                <c:numCache>
                  <c:formatCode>General</c:formatCode>
                  <c:ptCount val="4"/>
                  <c:pt idx="0">
                    <c:v>1.9699999999999995E-2</c:v>
                  </c:pt>
                  <c:pt idx="1">
                    <c:v>0.32499999999999996</c:v>
                  </c:pt>
                  <c:pt idx="2">
                    <c:v>1.4999999999999998E-3</c:v>
                  </c:pt>
                  <c:pt idx="3">
                    <c:v>1.0481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template!$C$51:$C$54</c:f>
              <c:strCache>
                <c:ptCount val="4"/>
                <c:pt idx="0">
                  <c:v>ctr</c:v>
                </c:pt>
                <c:pt idx="1">
                  <c:v>purchase_rate_click</c:v>
                </c:pt>
                <c:pt idx="2">
                  <c:v>purchase_rate_impression</c:v>
                </c:pt>
                <c:pt idx="3">
                  <c:v>cost_per_purchase </c:v>
                </c:pt>
              </c:strCache>
            </c:strRef>
          </c:cat>
          <c:val>
            <c:numRef>
              <c:f>template!$D$51:$D$54</c:f>
              <c:numCache>
                <c:formatCode>General</c:formatCode>
                <c:ptCount val="4"/>
                <c:pt idx="0">
                  <c:v>5.1499999999999997E-2</c:v>
                </c:pt>
                <c:pt idx="1">
                  <c:v>-2.2499999999999999E-2</c:v>
                </c:pt>
                <c:pt idx="2">
                  <c:v>3.3999999999999998E-3</c:v>
                </c:pt>
                <c:pt idx="3">
                  <c:v>0.84730000000000005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B-4517-835F-C15D3FE76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6427344"/>
        <c:axId val="1704270192"/>
      </c:barChart>
      <c:catAx>
        <c:axId val="41642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270192"/>
        <c:crosses val="autoZero"/>
        <c:auto val="1"/>
        <c:lblAlgn val="ctr"/>
        <c:lblOffset val="100"/>
        <c:noMultiLvlLbl val="0"/>
      </c:catAx>
      <c:valAx>
        <c:axId val="170427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2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61885358735755E-2"/>
          <c:y val="0.14856481481481484"/>
          <c:w val="0.89547308334709907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template!$D$50</c:f>
              <c:strCache>
                <c:ptCount val="1"/>
                <c:pt idx="0">
                  <c:v>absolute_lift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template!$G$51:$G$54</c:f>
                <c:numCache>
                  <c:formatCode>General</c:formatCode>
                  <c:ptCount val="4"/>
                  <c:pt idx="0">
                    <c:v>1.4683999999999999</c:v>
                  </c:pt>
                  <c:pt idx="1">
                    <c:v>3.9E-2</c:v>
                  </c:pt>
                  <c:pt idx="2">
                    <c:v>1.1052</c:v>
                  </c:pt>
                  <c:pt idx="3">
                    <c:v>1.0209000000000001</c:v>
                  </c:pt>
                </c:numCache>
              </c:numRef>
            </c:plus>
            <c:minus>
              <c:numRef>
                <c:f>template!$H$51:$H$54</c:f>
                <c:numCache>
                  <c:formatCode>General</c:formatCode>
                  <c:ptCount val="4"/>
                  <c:pt idx="0">
                    <c:v>1.9699999999999995E-2</c:v>
                  </c:pt>
                  <c:pt idx="1">
                    <c:v>0.32499999999999996</c:v>
                  </c:pt>
                  <c:pt idx="2">
                    <c:v>1.4999999999999998E-3</c:v>
                  </c:pt>
                  <c:pt idx="3">
                    <c:v>1.0481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template!$C$51:$C$54</c:f>
              <c:strCache>
                <c:ptCount val="4"/>
                <c:pt idx="0">
                  <c:v>ctr</c:v>
                </c:pt>
                <c:pt idx="1">
                  <c:v>purchase_rate_click</c:v>
                </c:pt>
                <c:pt idx="2">
                  <c:v>purchase_rate_impression</c:v>
                </c:pt>
                <c:pt idx="3">
                  <c:v>cost_per_purchase </c:v>
                </c:pt>
              </c:strCache>
            </c:strRef>
          </c:cat>
          <c:val>
            <c:numRef>
              <c:f>template!$D$51:$D$54</c:f>
              <c:numCache>
                <c:formatCode>General</c:formatCode>
                <c:ptCount val="4"/>
                <c:pt idx="0">
                  <c:v>5.1499999999999997E-2</c:v>
                </c:pt>
                <c:pt idx="1">
                  <c:v>-2.2499999999999999E-2</c:v>
                </c:pt>
                <c:pt idx="2">
                  <c:v>3.3999999999999998E-3</c:v>
                </c:pt>
                <c:pt idx="3">
                  <c:v>0.84730000000000005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3-4B16-ADB5-CB09ECE4D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6427344"/>
        <c:axId val="1704270192"/>
      </c:barChart>
      <c:catAx>
        <c:axId val="41642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270192"/>
        <c:crosses val="autoZero"/>
        <c:auto val="1"/>
        <c:lblAlgn val="ctr"/>
        <c:lblOffset val="100"/>
        <c:noMultiLvlLbl val="0"/>
      </c:catAx>
      <c:valAx>
        <c:axId val="170427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2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[Dashboard.xlsx]Sheet6!PivotTable3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Sheet6!$A$5:$A$34</c:f>
              <c:strCache>
                <c:ptCount val="30"/>
                <c:pt idx="0">
                  <c:v>2019-08-01</c:v>
                </c:pt>
                <c:pt idx="1">
                  <c:v>2019-08-02</c:v>
                </c:pt>
                <c:pt idx="2">
                  <c:v>2019-08-03</c:v>
                </c:pt>
                <c:pt idx="3">
                  <c:v>2019-08-04</c:v>
                </c:pt>
                <c:pt idx="4">
                  <c:v>2019-08-05</c:v>
                </c:pt>
                <c:pt idx="5">
                  <c:v>2019-08-06</c:v>
                </c:pt>
                <c:pt idx="6">
                  <c:v>2019-08-07</c:v>
                </c:pt>
                <c:pt idx="7">
                  <c:v>2019-08-08</c:v>
                </c:pt>
                <c:pt idx="8">
                  <c:v>2019-08-09</c:v>
                </c:pt>
                <c:pt idx="9">
                  <c:v>2019-08-10</c:v>
                </c:pt>
                <c:pt idx="10">
                  <c:v>2019-08-11</c:v>
                </c:pt>
                <c:pt idx="11">
                  <c:v>2019-08-12</c:v>
                </c:pt>
                <c:pt idx="12">
                  <c:v>2019-08-13</c:v>
                </c:pt>
                <c:pt idx="13">
                  <c:v>2019-08-14</c:v>
                </c:pt>
                <c:pt idx="14">
                  <c:v>2019-08-15</c:v>
                </c:pt>
                <c:pt idx="15">
                  <c:v>2019-08-16</c:v>
                </c:pt>
                <c:pt idx="16">
                  <c:v>2019-08-17</c:v>
                </c:pt>
                <c:pt idx="17">
                  <c:v>2019-08-18</c:v>
                </c:pt>
                <c:pt idx="18">
                  <c:v>2019-08-19</c:v>
                </c:pt>
                <c:pt idx="19">
                  <c:v>2019-08-20</c:v>
                </c:pt>
                <c:pt idx="20">
                  <c:v>2019-08-21</c:v>
                </c:pt>
                <c:pt idx="21">
                  <c:v>2019-08-22</c:v>
                </c:pt>
                <c:pt idx="22">
                  <c:v>2019-08-23</c:v>
                </c:pt>
                <c:pt idx="23">
                  <c:v>2019-08-24</c:v>
                </c:pt>
                <c:pt idx="24">
                  <c:v>2019-08-25</c:v>
                </c:pt>
                <c:pt idx="25">
                  <c:v>2019-08-26</c:v>
                </c:pt>
                <c:pt idx="26">
                  <c:v>2019-08-27</c:v>
                </c:pt>
                <c:pt idx="27">
                  <c:v>2019-08-28</c:v>
                </c:pt>
                <c:pt idx="28">
                  <c:v>2019-08-29</c:v>
                </c:pt>
                <c:pt idx="29">
                  <c:v>2019-08-30</c:v>
                </c:pt>
              </c:strCache>
            </c:strRef>
          </c:cat>
          <c:val>
            <c:numRef>
              <c:f>Sheet6!$B$5:$B$34</c:f>
              <c:numCache>
                <c:formatCode>General</c:formatCode>
                <c:ptCount val="30"/>
                <c:pt idx="0">
                  <c:v>8.8084379000000004E-2</c:v>
                </c:pt>
                <c:pt idx="1">
                  <c:v>6.3008630999999996E-2</c:v>
                </c:pt>
                <c:pt idx="2">
                  <c:v>5.7160417999999998E-2</c:v>
                </c:pt>
                <c:pt idx="3">
                  <c:v>0.11092985299999999</c:v>
                </c:pt>
                <c:pt idx="5">
                  <c:v>0.18967229399999999</c:v>
                </c:pt>
                <c:pt idx="6">
                  <c:v>0.18901515199999999</c:v>
                </c:pt>
                <c:pt idx="7">
                  <c:v>6.3636364000000001E-2</c:v>
                </c:pt>
                <c:pt idx="8">
                  <c:v>8.0832527000000001E-2</c:v>
                </c:pt>
                <c:pt idx="9">
                  <c:v>0.32235397500000001</c:v>
                </c:pt>
                <c:pt idx="10">
                  <c:v>5.8375323E-2</c:v>
                </c:pt>
                <c:pt idx="11">
                  <c:v>0.265285667</c:v>
                </c:pt>
                <c:pt idx="12">
                  <c:v>0.116875191</c:v>
                </c:pt>
                <c:pt idx="13">
                  <c:v>0.17429772199999999</c:v>
                </c:pt>
                <c:pt idx="14">
                  <c:v>7.4754901999999998E-2</c:v>
                </c:pt>
                <c:pt idx="15">
                  <c:v>8.3843797999999997E-2</c:v>
                </c:pt>
                <c:pt idx="16">
                  <c:v>3.3494267000000001E-2</c:v>
                </c:pt>
                <c:pt idx="17">
                  <c:v>3.3503378E-2</c:v>
                </c:pt>
                <c:pt idx="18">
                  <c:v>0.14624932500000001</c:v>
                </c:pt>
                <c:pt idx="19">
                  <c:v>0.11598138099999999</c:v>
                </c:pt>
                <c:pt idx="20">
                  <c:v>0.14057283400000001</c:v>
                </c:pt>
                <c:pt idx="21">
                  <c:v>5.6554143000000001E-2</c:v>
                </c:pt>
                <c:pt idx="22">
                  <c:v>0.173696145</c:v>
                </c:pt>
                <c:pt idx="23">
                  <c:v>0.14320685399999999</c:v>
                </c:pt>
                <c:pt idx="24">
                  <c:v>9.1166744999999993E-2</c:v>
                </c:pt>
                <c:pt idx="25">
                  <c:v>4.6182152999999997E-2</c:v>
                </c:pt>
                <c:pt idx="26">
                  <c:v>0.12244484899999999</c:v>
                </c:pt>
                <c:pt idx="27">
                  <c:v>0.102274535</c:v>
                </c:pt>
                <c:pt idx="28">
                  <c:v>4.1097575999999997E-2</c:v>
                </c:pt>
                <c:pt idx="29">
                  <c:v>0.14383855700000001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6-4D81-AB7E-409B585C282D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Sheet6!$A$5:$A$34</c:f>
              <c:strCache>
                <c:ptCount val="30"/>
                <c:pt idx="0">
                  <c:v>2019-08-01</c:v>
                </c:pt>
                <c:pt idx="1">
                  <c:v>2019-08-02</c:v>
                </c:pt>
                <c:pt idx="2">
                  <c:v>2019-08-03</c:v>
                </c:pt>
                <c:pt idx="3">
                  <c:v>2019-08-04</c:v>
                </c:pt>
                <c:pt idx="4">
                  <c:v>2019-08-05</c:v>
                </c:pt>
                <c:pt idx="5">
                  <c:v>2019-08-06</c:v>
                </c:pt>
                <c:pt idx="6">
                  <c:v>2019-08-07</c:v>
                </c:pt>
                <c:pt idx="7">
                  <c:v>2019-08-08</c:v>
                </c:pt>
                <c:pt idx="8">
                  <c:v>2019-08-09</c:v>
                </c:pt>
                <c:pt idx="9">
                  <c:v>2019-08-10</c:v>
                </c:pt>
                <c:pt idx="10">
                  <c:v>2019-08-11</c:v>
                </c:pt>
                <c:pt idx="11">
                  <c:v>2019-08-12</c:v>
                </c:pt>
                <c:pt idx="12">
                  <c:v>2019-08-13</c:v>
                </c:pt>
                <c:pt idx="13">
                  <c:v>2019-08-14</c:v>
                </c:pt>
                <c:pt idx="14">
                  <c:v>2019-08-15</c:v>
                </c:pt>
                <c:pt idx="15">
                  <c:v>2019-08-16</c:v>
                </c:pt>
                <c:pt idx="16">
                  <c:v>2019-08-17</c:v>
                </c:pt>
                <c:pt idx="17">
                  <c:v>2019-08-18</c:v>
                </c:pt>
                <c:pt idx="18">
                  <c:v>2019-08-19</c:v>
                </c:pt>
                <c:pt idx="19">
                  <c:v>2019-08-20</c:v>
                </c:pt>
                <c:pt idx="20">
                  <c:v>2019-08-21</c:v>
                </c:pt>
                <c:pt idx="21">
                  <c:v>2019-08-22</c:v>
                </c:pt>
                <c:pt idx="22">
                  <c:v>2019-08-23</c:v>
                </c:pt>
                <c:pt idx="23">
                  <c:v>2019-08-24</c:v>
                </c:pt>
                <c:pt idx="24">
                  <c:v>2019-08-25</c:v>
                </c:pt>
                <c:pt idx="25">
                  <c:v>2019-08-26</c:v>
                </c:pt>
                <c:pt idx="26">
                  <c:v>2019-08-27</c:v>
                </c:pt>
                <c:pt idx="27">
                  <c:v>2019-08-28</c:v>
                </c:pt>
                <c:pt idx="28">
                  <c:v>2019-08-29</c:v>
                </c:pt>
                <c:pt idx="29">
                  <c:v>2019-08-30</c:v>
                </c:pt>
              </c:strCache>
            </c:strRef>
          </c:cat>
          <c:val>
            <c:numRef>
              <c:f>Sheet6!$C$5:$C$34</c:f>
              <c:numCache>
                <c:formatCode>General</c:formatCode>
                <c:ptCount val="30"/>
                <c:pt idx="0">
                  <c:v>8.3936801000000005E-2</c:v>
                </c:pt>
                <c:pt idx="1">
                  <c:v>0.14537255700000001</c:v>
                </c:pt>
                <c:pt idx="2">
                  <c:v>7.3303741000000006E-2</c:v>
                </c:pt>
                <c:pt idx="3">
                  <c:v>8.0645161000000007E-2</c:v>
                </c:pt>
                <c:pt idx="4">
                  <c:v>0.13099095999999999</c:v>
                </c:pt>
                <c:pt idx="5">
                  <c:v>6.5170939999999997E-2</c:v>
                </c:pt>
                <c:pt idx="6">
                  <c:v>0.21085050899999999</c:v>
                </c:pt>
                <c:pt idx="7">
                  <c:v>5.9994432E-2</c:v>
                </c:pt>
                <c:pt idx="8">
                  <c:v>0.102312629</c:v>
                </c:pt>
                <c:pt idx="9">
                  <c:v>3.3846154000000003E-2</c:v>
                </c:pt>
                <c:pt idx="10">
                  <c:v>0.178133333</c:v>
                </c:pt>
                <c:pt idx="11">
                  <c:v>8.5793804000000001E-2</c:v>
                </c:pt>
                <c:pt idx="12">
                  <c:v>0.107293869</c:v>
                </c:pt>
                <c:pt idx="13">
                  <c:v>8.5149010999999997E-2</c:v>
                </c:pt>
                <c:pt idx="14">
                  <c:v>7.9711595999999996E-2</c:v>
                </c:pt>
                <c:pt idx="15">
                  <c:v>7.1617647000000006E-2</c:v>
                </c:pt>
                <c:pt idx="16">
                  <c:v>3.0088495999999999E-2</c:v>
                </c:pt>
                <c:pt idx="17">
                  <c:v>3.7197858E-2</c:v>
                </c:pt>
                <c:pt idx="18">
                  <c:v>6.7218064999999994E-2</c:v>
                </c:pt>
                <c:pt idx="19">
                  <c:v>0.120661157</c:v>
                </c:pt>
                <c:pt idx="20">
                  <c:v>4.4781575999999997E-2</c:v>
                </c:pt>
                <c:pt idx="21">
                  <c:v>6.2288422000000003E-2</c:v>
                </c:pt>
                <c:pt idx="22">
                  <c:v>9.3165255000000002E-2</c:v>
                </c:pt>
                <c:pt idx="23">
                  <c:v>3.7590832999999997E-2</c:v>
                </c:pt>
                <c:pt idx="24">
                  <c:v>0.181034483</c:v>
                </c:pt>
                <c:pt idx="25">
                  <c:v>7.4345549999999996E-2</c:v>
                </c:pt>
                <c:pt idx="26">
                  <c:v>0.11981352000000001</c:v>
                </c:pt>
                <c:pt idx="27">
                  <c:v>8.8531434000000006E-2</c:v>
                </c:pt>
                <c:pt idx="28">
                  <c:v>8.8485165000000005E-2</c:v>
                </c:pt>
                <c:pt idx="29">
                  <c:v>0.13002955199999999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A6-4D81-AB7E-409B585C2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626223"/>
        <c:axId val="1911626703"/>
      </c:lineChart>
      <c:catAx>
        <c:axId val="191162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26703"/>
        <c:crosses val="autoZero"/>
        <c:auto val="1"/>
        <c:lblAlgn val="ctr"/>
        <c:lblOffset val="100"/>
        <c:noMultiLvlLbl val="0"/>
      </c:catAx>
      <c:valAx>
        <c:axId val="191162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2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Funnel Performance: Control vs Test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template!$B$14</c:f>
              <c:strCache>
                <c:ptCount val="1"/>
                <c:pt idx="0">
                  <c:v>control_mean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template!$A$15:$A$18</c:f>
              <c:strCache>
                <c:ptCount val="4"/>
                <c:pt idx="0">
                  <c:v>ctr</c:v>
                </c:pt>
                <c:pt idx="1">
                  <c:v>purchase_rate_click</c:v>
                </c:pt>
                <c:pt idx="2">
                  <c:v>purchase_rate_impression</c:v>
                </c:pt>
                <c:pt idx="3">
                  <c:v>cost_per_purchase </c:v>
                </c:pt>
              </c:strCache>
            </c:strRef>
          </c:cat>
          <c:val>
            <c:numRef>
              <c:f>template!$B$15:$B$18</c:f>
              <c:numCache>
                <c:formatCode>General</c:formatCode>
                <c:ptCount val="4"/>
                <c:pt idx="0">
                  <c:v>5.0999999999999997E-2</c:v>
                </c:pt>
                <c:pt idx="1">
                  <c:v>0.1148</c:v>
                </c:pt>
                <c:pt idx="2">
                  <c:v>5.0000000000000001E-3</c:v>
                </c:pt>
                <c:pt idx="3">
                  <c:v>5.0522999999999998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3-4CD5-B49F-D97D18D23989}"/>
            </c:ext>
          </c:extLst>
        </c:ser>
        <c:ser>
          <c:idx val="1"/>
          <c:order val="1"/>
          <c:tx>
            <c:strRef>
              <c:f>template!$C$14</c:f>
              <c:strCache>
                <c:ptCount val="1"/>
                <c:pt idx="0">
                  <c:v>test_mean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template!$A$15:$A$18</c:f>
              <c:strCache>
                <c:ptCount val="4"/>
                <c:pt idx="0">
                  <c:v>ctr</c:v>
                </c:pt>
                <c:pt idx="1">
                  <c:v>purchase_rate_click</c:v>
                </c:pt>
                <c:pt idx="2">
                  <c:v>purchase_rate_impression</c:v>
                </c:pt>
                <c:pt idx="3">
                  <c:v>cost_per_purchase </c:v>
                </c:pt>
              </c:strCache>
            </c:strRef>
          </c:cat>
          <c:val>
            <c:numRef>
              <c:f>template!$C$15:$C$18</c:f>
              <c:numCache>
                <c:formatCode>General</c:formatCode>
                <c:ptCount val="4"/>
                <c:pt idx="0">
                  <c:v>0.1024</c:v>
                </c:pt>
                <c:pt idx="1">
                  <c:v>9.2299999999999993E-2</c:v>
                </c:pt>
                <c:pt idx="2">
                  <c:v>8.3999999999999995E-3</c:v>
                </c:pt>
                <c:pt idx="3">
                  <c:v>5.8996000000000004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3-4CD5-B49F-D97D18D23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0904719"/>
        <c:axId val="1920903759"/>
      </c:barChart>
      <c:catAx>
        <c:axId val="192090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903759"/>
        <c:crosses val="autoZero"/>
        <c:auto val="1"/>
        <c:lblAlgn val="ctr"/>
        <c:lblOffset val="100"/>
        <c:noMultiLvlLbl val="0"/>
      </c:catAx>
      <c:valAx>
        <c:axId val="19209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90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[Dashboard.xlsx]Sheet6!PivotTable3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Sheet6!$A$5:$A$34</c:f>
              <c:strCache>
                <c:ptCount val="30"/>
                <c:pt idx="0">
                  <c:v>2019-08-01</c:v>
                </c:pt>
                <c:pt idx="1">
                  <c:v>2019-08-02</c:v>
                </c:pt>
                <c:pt idx="2">
                  <c:v>2019-08-03</c:v>
                </c:pt>
                <c:pt idx="3">
                  <c:v>2019-08-04</c:v>
                </c:pt>
                <c:pt idx="4">
                  <c:v>2019-08-05</c:v>
                </c:pt>
                <c:pt idx="5">
                  <c:v>2019-08-06</c:v>
                </c:pt>
                <c:pt idx="6">
                  <c:v>2019-08-07</c:v>
                </c:pt>
                <c:pt idx="7">
                  <c:v>2019-08-08</c:v>
                </c:pt>
                <c:pt idx="8">
                  <c:v>2019-08-09</c:v>
                </c:pt>
                <c:pt idx="9">
                  <c:v>2019-08-10</c:v>
                </c:pt>
                <c:pt idx="10">
                  <c:v>2019-08-11</c:v>
                </c:pt>
                <c:pt idx="11">
                  <c:v>2019-08-12</c:v>
                </c:pt>
                <c:pt idx="12">
                  <c:v>2019-08-13</c:v>
                </c:pt>
                <c:pt idx="13">
                  <c:v>2019-08-14</c:v>
                </c:pt>
                <c:pt idx="14">
                  <c:v>2019-08-15</c:v>
                </c:pt>
                <c:pt idx="15">
                  <c:v>2019-08-16</c:v>
                </c:pt>
                <c:pt idx="16">
                  <c:v>2019-08-17</c:v>
                </c:pt>
                <c:pt idx="17">
                  <c:v>2019-08-18</c:v>
                </c:pt>
                <c:pt idx="18">
                  <c:v>2019-08-19</c:v>
                </c:pt>
                <c:pt idx="19">
                  <c:v>2019-08-20</c:v>
                </c:pt>
                <c:pt idx="20">
                  <c:v>2019-08-21</c:v>
                </c:pt>
                <c:pt idx="21">
                  <c:v>2019-08-22</c:v>
                </c:pt>
                <c:pt idx="22">
                  <c:v>2019-08-23</c:v>
                </c:pt>
                <c:pt idx="23">
                  <c:v>2019-08-24</c:v>
                </c:pt>
                <c:pt idx="24">
                  <c:v>2019-08-25</c:v>
                </c:pt>
                <c:pt idx="25">
                  <c:v>2019-08-26</c:v>
                </c:pt>
                <c:pt idx="26">
                  <c:v>2019-08-27</c:v>
                </c:pt>
                <c:pt idx="27">
                  <c:v>2019-08-28</c:v>
                </c:pt>
                <c:pt idx="28">
                  <c:v>2019-08-29</c:v>
                </c:pt>
                <c:pt idx="29">
                  <c:v>2019-08-30</c:v>
                </c:pt>
              </c:strCache>
            </c:strRef>
          </c:cat>
          <c:val>
            <c:numRef>
              <c:f>Sheet6!$B$5:$B$34</c:f>
              <c:numCache>
                <c:formatCode>General</c:formatCode>
                <c:ptCount val="30"/>
                <c:pt idx="0">
                  <c:v>8.8084379000000004E-2</c:v>
                </c:pt>
                <c:pt idx="1">
                  <c:v>6.3008630999999996E-2</c:v>
                </c:pt>
                <c:pt idx="2">
                  <c:v>5.7160417999999998E-2</c:v>
                </c:pt>
                <c:pt idx="3">
                  <c:v>0.11092985299999999</c:v>
                </c:pt>
                <c:pt idx="5">
                  <c:v>0.18967229399999999</c:v>
                </c:pt>
                <c:pt idx="6">
                  <c:v>0.18901515199999999</c:v>
                </c:pt>
                <c:pt idx="7">
                  <c:v>6.3636364000000001E-2</c:v>
                </c:pt>
                <c:pt idx="8">
                  <c:v>8.0832527000000001E-2</c:v>
                </c:pt>
                <c:pt idx="9">
                  <c:v>0.32235397500000001</c:v>
                </c:pt>
                <c:pt idx="10">
                  <c:v>5.8375323E-2</c:v>
                </c:pt>
                <c:pt idx="11">
                  <c:v>0.265285667</c:v>
                </c:pt>
                <c:pt idx="12">
                  <c:v>0.116875191</c:v>
                </c:pt>
                <c:pt idx="13">
                  <c:v>0.17429772199999999</c:v>
                </c:pt>
                <c:pt idx="14">
                  <c:v>7.4754901999999998E-2</c:v>
                </c:pt>
                <c:pt idx="15">
                  <c:v>8.3843797999999997E-2</c:v>
                </c:pt>
                <c:pt idx="16">
                  <c:v>3.3494267000000001E-2</c:v>
                </c:pt>
                <c:pt idx="17">
                  <c:v>3.3503378E-2</c:v>
                </c:pt>
                <c:pt idx="18">
                  <c:v>0.14624932500000001</c:v>
                </c:pt>
                <c:pt idx="19">
                  <c:v>0.11598138099999999</c:v>
                </c:pt>
                <c:pt idx="20">
                  <c:v>0.14057283400000001</c:v>
                </c:pt>
                <c:pt idx="21">
                  <c:v>5.6554143000000001E-2</c:v>
                </c:pt>
                <c:pt idx="22">
                  <c:v>0.173696145</c:v>
                </c:pt>
                <c:pt idx="23">
                  <c:v>0.14320685399999999</c:v>
                </c:pt>
                <c:pt idx="24">
                  <c:v>9.1166744999999993E-2</c:v>
                </c:pt>
                <c:pt idx="25">
                  <c:v>4.6182152999999997E-2</c:v>
                </c:pt>
                <c:pt idx="26">
                  <c:v>0.12244484899999999</c:v>
                </c:pt>
                <c:pt idx="27">
                  <c:v>0.102274535</c:v>
                </c:pt>
                <c:pt idx="28">
                  <c:v>4.1097575999999997E-2</c:v>
                </c:pt>
                <c:pt idx="29">
                  <c:v>0.14383855700000001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E-4F7A-9F2F-EC81DAA70F07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Sheet6!$A$5:$A$34</c:f>
              <c:strCache>
                <c:ptCount val="30"/>
                <c:pt idx="0">
                  <c:v>2019-08-01</c:v>
                </c:pt>
                <c:pt idx="1">
                  <c:v>2019-08-02</c:v>
                </c:pt>
                <c:pt idx="2">
                  <c:v>2019-08-03</c:v>
                </c:pt>
                <c:pt idx="3">
                  <c:v>2019-08-04</c:v>
                </c:pt>
                <c:pt idx="4">
                  <c:v>2019-08-05</c:v>
                </c:pt>
                <c:pt idx="5">
                  <c:v>2019-08-06</c:v>
                </c:pt>
                <c:pt idx="6">
                  <c:v>2019-08-07</c:v>
                </c:pt>
                <c:pt idx="7">
                  <c:v>2019-08-08</c:v>
                </c:pt>
                <c:pt idx="8">
                  <c:v>2019-08-09</c:v>
                </c:pt>
                <c:pt idx="9">
                  <c:v>2019-08-10</c:v>
                </c:pt>
                <c:pt idx="10">
                  <c:v>2019-08-11</c:v>
                </c:pt>
                <c:pt idx="11">
                  <c:v>2019-08-12</c:v>
                </c:pt>
                <c:pt idx="12">
                  <c:v>2019-08-13</c:v>
                </c:pt>
                <c:pt idx="13">
                  <c:v>2019-08-14</c:v>
                </c:pt>
                <c:pt idx="14">
                  <c:v>2019-08-15</c:v>
                </c:pt>
                <c:pt idx="15">
                  <c:v>2019-08-16</c:v>
                </c:pt>
                <c:pt idx="16">
                  <c:v>2019-08-17</c:v>
                </c:pt>
                <c:pt idx="17">
                  <c:v>2019-08-18</c:v>
                </c:pt>
                <c:pt idx="18">
                  <c:v>2019-08-19</c:v>
                </c:pt>
                <c:pt idx="19">
                  <c:v>2019-08-20</c:v>
                </c:pt>
                <c:pt idx="20">
                  <c:v>2019-08-21</c:v>
                </c:pt>
                <c:pt idx="21">
                  <c:v>2019-08-22</c:v>
                </c:pt>
                <c:pt idx="22">
                  <c:v>2019-08-23</c:v>
                </c:pt>
                <c:pt idx="23">
                  <c:v>2019-08-24</c:v>
                </c:pt>
                <c:pt idx="24">
                  <c:v>2019-08-25</c:v>
                </c:pt>
                <c:pt idx="25">
                  <c:v>2019-08-26</c:v>
                </c:pt>
                <c:pt idx="26">
                  <c:v>2019-08-27</c:v>
                </c:pt>
                <c:pt idx="27">
                  <c:v>2019-08-28</c:v>
                </c:pt>
                <c:pt idx="28">
                  <c:v>2019-08-29</c:v>
                </c:pt>
                <c:pt idx="29">
                  <c:v>2019-08-30</c:v>
                </c:pt>
              </c:strCache>
            </c:strRef>
          </c:cat>
          <c:val>
            <c:numRef>
              <c:f>Sheet6!$C$5:$C$34</c:f>
              <c:numCache>
                <c:formatCode>General</c:formatCode>
                <c:ptCount val="30"/>
                <c:pt idx="0">
                  <c:v>8.3936801000000005E-2</c:v>
                </c:pt>
                <c:pt idx="1">
                  <c:v>0.14537255700000001</c:v>
                </c:pt>
                <c:pt idx="2">
                  <c:v>7.3303741000000006E-2</c:v>
                </c:pt>
                <c:pt idx="3">
                  <c:v>8.0645161000000007E-2</c:v>
                </c:pt>
                <c:pt idx="4">
                  <c:v>0.13099095999999999</c:v>
                </c:pt>
                <c:pt idx="5">
                  <c:v>6.5170939999999997E-2</c:v>
                </c:pt>
                <c:pt idx="6">
                  <c:v>0.21085050899999999</c:v>
                </c:pt>
                <c:pt idx="7">
                  <c:v>5.9994432E-2</c:v>
                </c:pt>
                <c:pt idx="8">
                  <c:v>0.102312629</c:v>
                </c:pt>
                <c:pt idx="9">
                  <c:v>3.3846154000000003E-2</c:v>
                </c:pt>
                <c:pt idx="10">
                  <c:v>0.178133333</c:v>
                </c:pt>
                <c:pt idx="11">
                  <c:v>8.5793804000000001E-2</c:v>
                </c:pt>
                <c:pt idx="12">
                  <c:v>0.107293869</c:v>
                </c:pt>
                <c:pt idx="13">
                  <c:v>8.5149010999999997E-2</c:v>
                </c:pt>
                <c:pt idx="14">
                  <c:v>7.9711595999999996E-2</c:v>
                </c:pt>
                <c:pt idx="15">
                  <c:v>7.1617647000000006E-2</c:v>
                </c:pt>
                <c:pt idx="16">
                  <c:v>3.0088495999999999E-2</c:v>
                </c:pt>
                <c:pt idx="17">
                  <c:v>3.7197858E-2</c:v>
                </c:pt>
                <c:pt idx="18">
                  <c:v>6.7218064999999994E-2</c:v>
                </c:pt>
                <c:pt idx="19">
                  <c:v>0.120661157</c:v>
                </c:pt>
                <c:pt idx="20">
                  <c:v>4.4781575999999997E-2</c:v>
                </c:pt>
                <c:pt idx="21">
                  <c:v>6.2288422000000003E-2</c:v>
                </c:pt>
                <c:pt idx="22">
                  <c:v>9.3165255000000002E-2</c:v>
                </c:pt>
                <c:pt idx="23">
                  <c:v>3.7590832999999997E-2</c:v>
                </c:pt>
                <c:pt idx="24">
                  <c:v>0.181034483</c:v>
                </c:pt>
                <c:pt idx="25">
                  <c:v>7.4345549999999996E-2</c:v>
                </c:pt>
                <c:pt idx="26">
                  <c:v>0.11981352000000001</c:v>
                </c:pt>
                <c:pt idx="27">
                  <c:v>8.8531434000000006E-2</c:v>
                </c:pt>
                <c:pt idx="28">
                  <c:v>8.8485165000000005E-2</c:v>
                </c:pt>
                <c:pt idx="29">
                  <c:v>0.13002955199999999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8E-4F7A-9F2F-EC81DAA70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626223"/>
        <c:axId val="1911626703"/>
      </c:lineChart>
      <c:catAx>
        <c:axId val="191162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26703"/>
        <c:crosses val="autoZero"/>
        <c:auto val="1"/>
        <c:lblAlgn val="ctr"/>
        <c:lblOffset val="100"/>
        <c:noMultiLvlLbl val="0"/>
      </c:catAx>
      <c:valAx>
        <c:axId val="191162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2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3</xdr:row>
      <xdr:rowOff>47625</xdr:rowOff>
    </xdr:from>
    <xdr:to>
      <xdr:col>3</xdr:col>
      <xdr:colOff>152400</xdr:colOff>
      <xdr:row>7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504CDA3-081B-50A1-CDEE-BDB5E975B3FE}"/>
            </a:ext>
          </a:extLst>
        </xdr:cNvPr>
        <xdr:cNvSpPr/>
      </xdr:nvSpPr>
      <xdr:spPr>
        <a:xfrm>
          <a:off x="295275" y="809625"/>
          <a:ext cx="1685925" cy="762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Purchase</a:t>
          </a:r>
          <a:r>
            <a:rPr lang="en-CA" sz="1100" baseline="0"/>
            <a:t> Rate Lift (test vs. control)</a:t>
          </a:r>
          <a:r>
            <a:rPr lang="en-CA" sz="1100"/>
            <a:t>: </a:t>
          </a:r>
          <a:r>
            <a:rPr lang="en-CA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68.48%</a:t>
          </a:r>
          <a:r>
            <a:rPr lang="en-CA">
              <a:effectLst/>
            </a:rPr>
            <a:t> </a:t>
          </a:r>
          <a:endParaRPr lang="en-CA" sz="1100"/>
        </a:p>
      </xdr:txBody>
    </xdr:sp>
    <xdr:clientData/>
  </xdr:twoCellAnchor>
  <xdr:twoCellAnchor>
    <xdr:from>
      <xdr:col>3</xdr:col>
      <xdr:colOff>266700</xdr:colOff>
      <xdr:row>3</xdr:row>
      <xdr:rowOff>47625</xdr:rowOff>
    </xdr:from>
    <xdr:to>
      <xdr:col>6</xdr:col>
      <xdr:colOff>123825</xdr:colOff>
      <xdr:row>7</xdr:row>
      <xdr:rowOff>47625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A844B19-6DE1-4502-8863-4C4D24B651AA}"/>
            </a:ext>
          </a:extLst>
        </xdr:cNvPr>
        <xdr:cNvSpPr/>
      </xdr:nvSpPr>
      <xdr:spPr>
        <a:xfrm>
          <a:off x="2095500" y="809625"/>
          <a:ext cx="1685925" cy="762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Cost per</a:t>
          </a:r>
          <a:r>
            <a:rPr lang="en-CA" sz="1100" baseline="0"/>
            <a:t> Purchase Change: </a:t>
          </a:r>
          <a:r>
            <a:rPr lang="en-CA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$0.85</a:t>
          </a:r>
          <a:r>
            <a:rPr lang="en-CA">
              <a:effectLst/>
            </a:rPr>
            <a:t> </a:t>
          </a:r>
          <a:endParaRPr lang="en-CA" sz="1100"/>
        </a:p>
      </xdr:txBody>
    </xdr:sp>
    <xdr:clientData/>
  </xdr:twoCellAnchor>
  <xdr:twoCellAnchor>
    <xdr:from>
      <xdr:col>6</xdr:col>
      <xdr:colOff>209550</xdr:colOff>
      <xdr:row>3</xdr:row>
      <xdr:rowOff>38100</xdr:rowOff>
    </xdr:from>
    <xdr:to>
      <xdr:col>9</xdr:col>
      <xdr:colOff>66675</xdr:colOff>
      <xdr:row>7</xdr:row>
      <xdr:rowOff>38100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FB52028-13DF-4C06-9D49-844804ACDC85}"/>
            </a:ext>
          </a:extLst>
        </xdr:cNvPr>
        <xdr:cNvSpPr/>
      </xdr:nvSpPr>
      <xdr:spPr>
        <a:xfrm>
          <a:off x="3867150" y="800100"/>
          <a:ext cx="1685925" cy="762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Statistically Significant (95%)</a:t>
          </a:r>
        </a:p>
      </xdr:txBody>
    </xdr:sp>
    <xdr:clientData/>
  </xdr:twoCellAnchor>
  <xdr:twoCellAnchor>
    <xdr:from>
      <xdr:col>0</xdr:col>
      <xdr:colOff>276224</xdr:colOff>
      <xdr:row>7</xdr:row>
      <xdr:rowOff>161925</xdr:rowOff>
    </xdr:from>
    <xdr:to>
      <xdr:col>9</xdr:col>
      <xdr:colOff>323850</xdr:colOff>
      <xdr:row>11</xdr:row>
      <xdr:rowOff>9525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83BE5F-0679-7580-E148-C3D7676C7FEA}"/>
            </a:ext>
          </a:extLst>
        </xdr:cNvPr>
        <xdr:cNvSpPr txBox="1"/>
      </xdr:nvSpPr>
      <xdr:spPr>
        <a:xfrm>
          <a:off x="276224" y="1685925"/>
          <a:ext cx="5534026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/>
            <a:t>The test campaign improved purchase rate per impression by </a:t>
          </a:r>
          <a:r>
            <a:rPr lang="en-CA" b="1"/>
            <a:t>68.5%</a:t>
          </a:r>
          <a:r>
            <a:rPr lang="en-CA"/>
            <a:t> with a statistically reliable confidence interval. While cost per purchase increased slightly, the overall conversion efficiency improved meaningfully, supporting controlled rollout of the test campaign.</a:t>
          </a:r>
          <a:endParaRPr lang="en-CA" sz="1100"/>
        </a:p>
      </xdr:txBody>
    </xdr:sp>
    <xdr:clientData/>
  </xdr:twoCellAnchor>
  <xdr:twoCellAnchor>
    <xdr:from>
      <xdr:col>3</xdr:col>
      <xdr:colOff>66675</xdr:colOff>
      <xdr:row>11</xdr:row>
      <xdr:rowOff>157162</xdr:rowOff>
    </xdr:from>
    <xdr:to>
      <xdr:col>10</xdr:col>
      <xdr:colOff>371475</xdr:colOff>
      <xdr:row>26</xdr:row>
      <xdr:rowOff>42862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67AD51-4A74-E3E0-610D-99672EEB1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571499</xdr:colOff>
      <xdr:row>27</xdr:row>
      <xdr:rowOff>133350</xdr:rowOff>
    </xdr:from>
    <xdr:to>
      <xdr:col>9</xdr:col>
      <xdr:colOff>38100</xdr:colOff>
      <xdr:row>30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8A03EF9-D3EB-4FA8-864B-0C8F1A5C8D76}"/>
            </a:ext>
          </a:extLst>
        </xdr:cNvPr>
        <xdr:cNvSpPr txBox="1"/>
      </xdr:nvSpPr>
      <xdr:spPr>
        <a:xfrm>
          <a:off x="571499" y="5467350"/>
          <a:ext cx="4953001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/>
            <a:t>The test campaign shows its strongest lift at the purchase stage, indicating improved downstream conversion rather than higher ad engagement alone.</a:t>
          </a:r>
          <a:endParaRPr lang="en-CA" sz="1100"/>
        </a:p>
      </xdr:txBody>
    </xdr:sp>
    <xdr:clientData/>
  </xdr:twoCellAnchor>
  <xdr:twoCellAnchor>
    <xdr:from>
      <xdr:col>1</xdr:col>
      <xdr:colOff>95250</xdr:colOff>
      <xdr:row>31</xdr:row>
      <xdr:rowOff>38099</xdr:rowOff>
    </xdr:from>
    <xdr:to>
      <xdr:col>8</xdr:col>
      <xdr:colOff>323850</xdr:colOff>
      <xdr:row>44</xdr:row>
      <xdr:rowOff>9524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611579D-7C94-4195-BE32-57FFBE203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466725</xdr:colOff>
      <xdr:row>44</xdr:row>
      <xdr:rowOff>171450</xdr:rowOff>
    </xdr:from>
    <xdr:to>
      <xdr:col>8</xdr:col>
      <xdr:colOff>542926</xdr:colOff>
      <xdr:row>47</xdr:row>
      <xdr:rowOff>47625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87DD8A3-5158-487F-9AC4-1B841C0744F5}"/>
            </a:ext>
          </a:extLst>
        </xdr:cNvPr>
        <xdr:cNvSpPr txBox="1"/>
      </xdr:nvSpPr>
      <xdr:spPr>
        <a:xfrm>
          <a:off x="466725" y="8743950"/>
          <a:ext cx="4953001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/>
            <a:t>Performance improvements persist throughout the campaign window, suggesting the lift is stable rather than driven by short-term novelty.</a:t>
          </a:r>
          <a:endParaRPr lang="en-CA" sz="1100"/>
        </a:p>
      </xdr:txBody>
    </xdr:sp>
    <xdr:clientData/>
  </xdr:twoCellAnchor>
  <xdr:twoCellAnchor>
    <xdr:from>
      <xdr:col>0</xdr:col>
      <xdr:colOff>276225</xdr:colOff>
      <xdr:row>54</xdr:row>
      <xdr:rowOff>61912</xdr:rowOff>
    </xdr:from>
    <xdr:to>
      <xdr:col>9</xdr:col>
      <xdr:colOff>238125</xdr:colOff>
      <xdr:row>68</xdr:row>
      <xdr:rowOff>138112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33FFC99-773F-E954-77C0-04F8161AF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514350</xdr:colOff>
      <xdr:row>69</xdr:row>
      <xdr:rowOff>66675</xdr:rowOff>
    </xdr:from>
    <xdr:to>
      <xdr:col>8</xdr:col>
      <xdr:colOff>590551</xdr:colOff>
      <xdr:row>71</xdr:row>
      <xdr:rowOff>133350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BBBE555-2BD4-4B6D-9F4C-E9D033573EF4}"/>
            </a:ext>
          </a:extLst>
        </xdr:cNvPr>
        <xdr:cNvSpPr txBox="1"/>
      </xdr:nvSpPr>
      <xdr:spPr>
        <a:xfrm>
          <a:off x="514350" y="13401675"/>
          <a:ext cx="4953001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/>
            <a:t>Metrics whose confidence intervals do not cross zero indicate statistically reliable effects at the 95% confidence level</a:t>
          </a:r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44</xdr:row>
      <xdr:rowOff>123825</xdr:rowOff>
    </xdr:from>
    <xdr:to>
      <xdr:col>9</xdr:col>
      <xdr:colOff>466725</xdr:colOff>
      <xdr:row>59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76724-6360-4077-BB0D-3DB79AB89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295275</xdr:colOff>
      <xdr:row>28</xdr:row>
      <xdr:rowOff>57150</xdr:rowOff>
    </xdr:from>
    <xdr:to>
      <xdr:col>8</xdr:col>
      <xdr:colOff>523875</xdr:colOff>
      <xdr:row>41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C53597-D738-4CCE-A788-89DF95F32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10</xdr:row>
      <xdr:rowOff>85725</xdr:rowOff>
    </xdr:from>
    <xdr:to>
      <xdr:col>8</xdr:col>
      <xdr:colOff>504825</xdr:colOff>
      <xdr:row>24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CB7421-FCF2-4E61-8CE5-48496C24B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400050</xdr:colOff>
      <xdr:row>1</xdr:row>
      <xdr:rowOff>142875</xdr:rowOff>
    </xdr:from>
    <xdr:to>
      <xdr:col>3</xdr:col>
      <xdr:colOff>257175</xdr:colOff>
      <xdr:row>5</xdr:row>
      <xdr:rowOff>142875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BA95619-AEB7-44E4-85A8-F6FC38C0EFE7}"/>
            </a:ext>
          </a:extLst>
        </xdr:cNvPr>
        <xdr:cNvSpPr/>
      </xdr:nvSpPr>
      <xdr:spPr>
        <a:xfrm>
          <a:off x="400050" y="714375"/>
          <a:ext cx="1685925" cy="762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Purchase</a:t>
          </a:r>
          <a:r>
            <a:rPr lang="en-CA" sz="1100" baseline="0"/>
            <a:t> Rate Lift (test vs. control)</a:t>
          </a:r>
          <a:r>
            <a:rPr lang="en-CA" sz="1100"/>
            <a:t>: </a:t>
          </a:r>
          <a:r>
            <a:rPr lang="en-CA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68.48%</a:t>
          </a:r>
          <a:r>
            <a:rPr lang="en-CA">
              <a:effectLst/>
            </a:rPr>
            <a:t> </a:t>
          </a:r>
          <a:endParaRPr lang="en-CA" sz="1100"/>
        </a:p>
      </xdr:txBody>
    </xdr:sp>
    <xdr:clientData/>
  </xdr:twoCellAnchor>
  <xdr:twoCellAnchor>
    <xdr:from>
      <xdr:col>3</xdr:col>
      <xdr:colOff>400050</xdr:colOff>
      <xdr:row>1</xdr:row>
      <xdr:rowOff>152400</xdr:rowOff>
    </xdr:from>
    <xdr:to>
      <xdr:col>6</xdr:col>
      <xdr:colOff>257175</xdr:colOff>
      <xdr:row>5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7192BEB-11F5-480A-98E2-EB7571F83403}"/>
            </a:ext>
          </a:extLst>
        </xdr:cNvPr>
        <xdr:cNvSpPr/>
      </xdr:nvSpPr>
      <xdr:spPr>
        <a:xfrm>
          <a:off x="2228850" y="723900"/>
          <a:ext cx="1685925" cy="762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Cost per</a:t>
          </a:r>
          <a:r>
            <a:rPr lang="en-CA" sz="1100" baseline="0"/>
            <a:t> Purchase Change: </a:t>
          </a:r>
          <a:r>
            <a:rPr lang="en-CA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$0.85</a:t>
          </a:r>
          <a:r>
            <a:rPr lang="en-CA">
              <a:effectLst/>
            </a:rPr>
            <a:t> </a:t>
          </a:r>
          <a:endParaRPr lang="en-CA" sz="1100"/>
        </a:p>
      </xdr:txBody>
    </xdr:sp>
    <xdr:clientData/>
  </xdr:twoCellAnchor>
  <xdr:twoCellAnchor>
    <xdr:from>
      <xdr:col>6</xdr:col>
      <xdr:colOff>400050</xdr:colOff>
      <xdr:row>1</xdr:row>
      <xdr:rowOff>142875</xdr:rowOff>
    </xdr:from>
    <xdr:to>
      <xdr:col>9</xdr:col>
      <xdr:colOff>257175</xdr:colOff>
      <xdr:row>5</xdr:row>
      <xdr:rowOff>142875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9E1A51A-338B-4482-B57D-E5066F92822D}"/>
            </a:ext>
          </a:extLst>
        </xdr:cNvPr>
        <xdr:cNvSpPr/>
      </xdr:nvSpPr>
      <xdr:spPr>
        <a:xfrm>
          <a:off x="4057650" y="714375"/>
          <a:ext cx="1685925" cy="762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/>
            <a:t>Statistically Significant (95%)</a:t>
          </a:r>
        </a:p>
      </xdr:txBody>
    </xdr:sp>
    <xdr:clientData/>
  </xdr:twoCellAnchor>
  <xdr:twoCellAnchor>
    <xdr:from>
      <xdr:col>0</xdr:col>
      <xdr:colOff>428625</xdr:colOff>
      <xdr:row>6</xdr:row>
      <xdr:rowOff>123825</xdr:rowOff>
    </xdr:from>
    <xdr:to>
      <xdr:col>9</xdr:col>
      <xdr:colOff>476251</xdr:colOff>
      <xdr:row>9</xdr:row>
      <xdr:rowOff>161925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12C85F8-0E60-4473-8A54-ED2D7BD750BD}"/>
            </a:ext>
          </a:extLst>
        </xdr:cNvPr>
        <xdr:cNvSpPr txBox="1"/>
      </xdr:nvSpPr>
      <xdr:spPr>
        <a:xfrm>
          <a:off x="428625" y="1647825"/>
          <a:ext cx="5534026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/>
            <a:t>The test campaign improved purchase rate per impression by </a:t>
          </a:r>
          <a:r>
            <a:rPr lang="en-CA" b="1"/>
            <a:t>68.5%</a:t>
          </a:r>
          <a:r>
            <a:rPr lang="en-CA"/>
            <a:t> with a statistically reliable confidence interval. While cost per purchase increased slightly, the overall conversion efficiency improved meaningfully, supporting controlled rollout of the test campaign.</a:t>
          </a:r>
          <a:endParaRPr lang="en-CA" sz="1100"/>
        </a:p>
      </xdr:txBody>
    </xdr:sp>
    <xdr:clientData/>
  </xdr:twoCellAnchor>
  <xdr:twoCellAnchor>
    <xdr:from>
      <xdr:col>1</xdr:col>
      <xdr:colOff>38100</xdr:colOff>
      <xdr:row>25</xdr:row>
      <xdr:rowOff>57150</xdr:rowOff>
    </xdr:from>
    <xdr:to>
      <xdr:col>9</xdr:col>
      <xdr:colOff>114301</xdr:colOff>
      <xdr:row>27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03337C-E7D6-411F-8083-DFBEA32349F1}"/>
            </a:ext>
          </a:extLst>
        </xdr:cNvPr>
        <xdr:cNvSpPr txBox="1"/>
      </xdr:nvSpPr>
      <xdr:spPr>
        <a:xfrm>
          <a:off x="647700" y="5200650"/>
          <a:ext cx="4953001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/>
            <a:t>The test campaign shows its strongest lift at the purchase stage, indicating improved downstream conversion rather than higher ad engagement alone.</a:t>
          </a:r>
          <a:endParaRPr lang="en-CA" sz="1100"/>
        </a:p>
      </xdr:txBody>
    </xdr:sp>
    <xdr:clientData/>
  </xdr:twoCellAnchor>
  <xdr:twoCellAnchor>
    <xdr:from>
      <xdr:col>1</xdr:col>
      <xdr:colOff>0</xdr:colOff>
      <xdr:row>41</xdr:row>
      <xdr:rowOff>123825</xdr:rowOff>
    </xdr:from>
    <xdr:to>
      <xdr:col>9</xdr:col>
      <xdr:colOff>76201</xdr:colOff>
      <xdr:row>44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D9D6E6D-80EE-4674-82F4-9C38E6A5365F}"/>
            </a:ext>
          </a:extLst>
        </xdr:cNvPr>
        <xdr:cNvSpPr txBox="1"/>
      </xdr:nvSpPr>
      <xdr:spPr>
        <a:xfrm>
          <a:off x="609600" y="8315325"/>
          <a:ext cx="4953001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/>
            <a:t>Performance improvements persist throughout the campaign window, suggesting the lift is stable rather than driven by short-term novelty.</a:t>
          </a:r>
          <a:endParaRPr lang="en-CA" sz="1100"/>
        </a:p>
      </xdr:txBody>
    </xdr:sp>
    <xdr:clientData/>
  </xdr:twoCellAnchor>
  <xdr:twoCellAnchor>
    <xdr:from>
      <xdr:col>1</xdr:col>
      <xdr:colOff>152400</xdr:colOff>
      <xdr:row>59</xdr:row>
      <xdr:rowOff>85725</xdr:rowOff>
    </xdr:from>
    <xdr:to>
      <xdr:col>9</xdr:col>
      <xdr:colOff>228601</xdr:colOff>
      <xdr:row>61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4366951-3414-47F4-8A40-580CCF2B1A1C}"/>
            </a:ext>
          </a:extLst>
        </xdr:cNvPr>
        <xdr:cNvSpPr txBox="1"/>
      </xdr:nvSpPr>
      <xdr:spPr>
        <a:xfrm>
          <a:off x="762000" y="11706225"/>
          <a:ext cx="4953001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/>
            <a:t>Metrics whose confidence intervals do not cross zero indicate statistically reliable effects at the 95% confidence level</a:t>
          </a:r>
          <a:endParaRPr lang="en-CA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36</xdr:row>
      <xdr:rowOff>166687</xdr:rowOff>
    </xdr:from>
    <xdr:to>
      <xdr:col>4</xdr:col>
      <xdr:colOff>428625</xdr:colOff>
      <xdr:row>51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B1AC5D-8E7F-EE90-78E8-9AF9D66D1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na nizami" refreshedDate="46030.640888888891" createdVersion="8" refreshedVersion="8" minRefreshableVersion="3" recordCount="60" xr:uid="{EBBFEF1C-6EDE-4C2C-92A8-B1A724986020}">
  <cacheSource type="worksheet">
    <worksheetSource name="experiment_dataset"/>
  </cacheSource>
  <cacheFields count="17">
    <cacheField name="campaign_name" numFmtId="0">
      <sharedItems/>
    </cacheField>
    <cacheField name="date" numFmtId="14">
      <sharedItems containsSemiMixedTypes="0" containsNonDate="0" containsDate="1" containsString="0" minDate="2019-08-01T00:00:00" maxDate="2019-08-31T00:00:00" count="30"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</sharedItems>
    </cacheField>
    <cacheField name="is_test" numFmtId="0">
      <sharedItems containsSemiMixedTypes="0" containsString="0" containsNumber="1" containsInteger="1" minValue="0" maxValue="1" count="2">
        <n v="0"/>
        <n v="1"/>
      </sharedItems>
    </cacheField>
    <cacheField name="spend_usd" numFmtId="0">
      <sharedItems containsSemiMixedTypes="0" containsString="0" containsNumber="1" containsInteger="1" minValue="1757" maxValue="3112"/>
    </cacheField>
    <cacheField name="impressions" numFmtId="0">
      <sharedItems containsString="0" containsBlank="1" containsNumber="1" containsInteger="1" minValue="22521" maxValue="145248"/>
    </cacheField>
    <cacheField name="reach" numFmtId="0">
      <sharedItems containsString="0" containsBlank="1" containsNumber="1" containsInteger="1" minValue="10598" maxValue="127852"/>
    </cacheField>
    <cacheField name="website_clicks" numFmtId="0">
      <sharedItems containsString="0" containsBlank="1" containsNumber="1" containsInteger="1" minValue="2277" maxValue="8264"/>
    </cacheField>
    <cacheField name="searches" numFmtId="0">
      <sharedItems containsString="0" containsBlank="1" containsNumber="1" containsInteger="1" minValue="1001" maxValue="4891"/>
    </cacheField>
    <cacheField name="view_content" numFmtId="0">
      <sharedItems containsString="0" containsBlank="1" containsNumber="1" containsInteger="1" minValue="848" maxValue="4219"/>
    </cacheField>
    <cacheField name="add_to_cart" numFmtId="0">
      <sharedItems containsString="0" containsBlank="1" containsNumber="1" containsInteger="1" minValue="278" maxValue="1913"/>
    </cacheField>
    <cacheField name="purchase" numFmtId="0">
      <sharedItems containsString="0" containsBlank="1" containsNumber="1" containsInteger="1" minValue="222" maxValue="890"/>
    </cacheField>
    <cacheField name="ctr" numFmtId="0">
      <sharedItems containsString="0" containsBlank="1" containsNumber="1" minValue="1.8575458999999999E-2" maxValue="0.33821766399999997"/>
    </cacheField>
    <cacheField name="view_content_rate" numFmtId="0">
      <sharedItems containsString="0" containsBlank="1" containsNumber="1" minValue="0.14329594000000001" maxValue="0.871321915"/>
    </cacheField>
    <cacheField name="add_to_cart_rate" numFmtId="0">
      <sharedItems containsString="0" containsBlank="1" containsNumber="1" minValue="0.13473424000000001" maxValue="2.0153301890000002"/>
    </cacheField>
    <cacheField name="purchase_rate_click" numFmtId="0">
      <sharedItems containsString="0" containsBlank="1" containsNumber="1" minValue="3.0088495999999999E-2" maxValue="0.32235397500000001"/>
    </cacheField>
    <cacheField name="purchase_rate_impression" numFmtId="0">
      <sharedItems containsString="0" containsBlank="1" containsNumber="1" minValue="1.831488E-3" maxValue="2.2734337E-2"/>
    </cacheField>
    <cacheField name="cost_per_purchase " numFmtId="0">
      <sharedItems containsString="0" containsBlank="1" containsNumber="1" minValue="2.2537500000000001" maxValue="12.70204082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ontrol Campaign"/>
    <x v="0"/>
    <x v="0"/>
    <n v="2280"/>
    <n v="82702"/>
    <n v="56930"/>
    <n v="7016"/>
    <n v="2290"/>
    <n v="2159"/>
    <n v="1819"/>
    <n v="618"/>
    <n v="8.4834707999999995E-2"/>
    <n v="0.30772519999999998"/>
    <n v="0.84251968499999996"/>
    <n v="8.8084379000000004E-2"/>
    <n v="7.4726130000000003E-3"/>
    <n v="3.6893203880000001"/>
  </r>
  <r>
    <s v="Control Campaign"/>
    <x v="1"/>
    <x v="0"/>
    <n v="1757"/>
    <n v="121040"/>
    <n v="102513"/>
    <n v="8110"/>
    <n v="2033"/>
    <n v="1841"/>
    <n v="1219"/>
    <n v="511"/>
    <n v="6.7002644E-2"/>
    <n v="0.227003699"/>
    <n v="0.66214014099999996"/>
    <n v="6.3008630999999996E-2"/>
    <n v="4.2217449999999998E-3"/>
    <n v="3.438356164"/>
  </r>
  <r>
    <s v="Control Campaign"/>
    <x v="2"/>
    <x v="0"/>
    <n v="2343"/>
    <n v="131711"/>
    <n v="110862"/>
    <n v="6508"/>
    <n v="1737"/>
    <n v="1549"/>
    <n v="1134"/>
    <n v="372"/>
    <n v="4.9411210999999997E-2"/>
    <n v="0.238014751"/>
    <n v="0.73208521599999998"/>
    <n v="5.7160417999999998E-2"/>
    <n v="2.8243650000000001E-3"/>
    <n v="6.298387097"/>
  </r>
  <r>
    <s v="Control Campaign"/>
    <x v="3"/>
    <x v="0"/>
    <n v="1940"/>
    <n v="72878"/>
    <n v="61235"/>
    <n v="3065"/>
    <n v="1042"/>
    <n v="982"/>
    <n v="1183"/>
    <n v="340"/>
    <n v="4.2056587999999999E-2"/>
    <n v="0.32039151700000001"/>
    <n v="1.204684318"/>
    <n v="0.11092985299999999"/>
    <n v="4.665331E-3"/>
    <n v="5.7058823529999998"/>
  </r>
  <r>
    <s v="Control Campaign"/>
    <x v="4"/>
    <x v="0"/>
    <n v="1835"/>
    <m/>
    <m/>
    <m/>
    <m/>
    <m/>
    <m/>
    <m/>
    <m/>
    <m/>
    <m/>
    <m/>
    <m/>
    <m/>
  </r>
  <r>
    <s v="Control Campaign"/>
    <x v="5"/>
    <x v="0"/>
    <n v="3083"/>
    <n v="109076"/>
    <n v="87998"/>
    <n v="4028"/>
    <n v="1709"/>
    <n v="1249"/>
    <n v="784"/>
    <n v="764"/>
    <n v="3.6928379999999997E-2"/>
    <n v="0.31007944399999998"/>
    <n v="0.62770216199999995"/>
    <n v="0.18967229399999999"/>
    <n v="7.0042910000000002E-3"/>
    <n v="4.0353403139999999"/>
  </r>
  <r>
    <s v="Control Campaign"/>
    <x v="6"/>
    <x v="0"/>
    <n v="2544"/>
    <n v="142123"/>
    <n v="127852"/>
    <n v="2640"/>
    <n v="1388"/>
    <n v="1106"/>
    <n v="1166"/>
    <n v="499"/>
    <n v="1.8575458999999999E-2"/>
    <n v="0.41893939400000002"/>
    <n v="1.054249548"/>
    <n v="0.18901515199999999"/>
    <n v="3.5110430000000001E-3"/>
    <n v="5.0981963930000003"/>
  </r>
  <r>
    <s v="Control Campaign"/>
    <x v="7"/>
    <x v="0"/>
    <n v="1900"/>
    <n v="90939"/>
    <n v="65217"/>
    <n v="7260"/>
    <n v="3047"/>
    <n v="2746"/>
    <n v="930"/>
    <n v="462"/>
    <n v="7.9833735000000003E-2"/>
    <n v="0.37823691500000001"/>
    <n v="0.33867443600000002"/>
    <n v="6.3636364000000001E-2"/>
    <n v="5.0803289999999997E-3"/>
    <n v="4.1125541129999998"/>
  </r>
  <r>
    <s v="Control Campaign"/>
    <x v="8"/>
    <x v="0"/>
    <n v="2813"/>
    <n v="121332"/>
    <n v="94896"/>
    <n v="6198"/>
    <n v="2487"/>
    <n v="2179"/>
    <n v="645"/>
    <n v="501"/>
    <n v="5.1082979000000001E-2"/>
    <n v="0.35156502099999998"/>
    <n v="0.29600734299999998"/>
    <n v="8.0832527000000001E-2"/>
    <n v="4.1291660000000001E-3"/>
    <n v="5.6147704589999998"/>
  </r>
  <r>
    <s v="Control Campaign"/>
    <x v="9"/>
    <x v="0"/>
    <n v="2149"/>
    <n v="117624"/>
    <n v="91257"/>
    <n v="2277"/>
    <n v="2475"/>
    <n v="1984"/>
    <n v="1629"/>
    <n v="734"/>
    <n v="1.9358294000000002E-2"/>
    <n v="0.871321915"/>
    <n v="0.82106854799999995"/>
    <n v="0.32235397500000001"/>
    <n v="6.2402229999999996E-3"/>
    <n v="2.927792916"/>
  </r>
  <r>
    <s v="Control Campaign"/>
    <x v="10"/>
    <x v="0"/>
    <n v="2490"/>
    <n v="115247"/>
    <n v="95843"/>
    <n v="8137"/>
    <n v="2941"/>
    <n v="2486"/>
    <n v="1887"/>
    <n v="475"/>
    <n v="7.0604874999999997E-2"/>
    <n v="0.30551800400000001"/>
    <n v="0.75905068399999998"/>
    <n v="5.8375323E-2"/>
    <n v="4.1215820000000004E-3"/>
    <n v="5.242105263"/>
  </r>
  <r>
    <s v="Control Campaign"/>
    <x v="11"/>
    <x v="0"/>
    <n v="2319"/>
    <n v="116639"/>
    <n v="100189"/>
    <n v="2993"/>
    <n v="1397"/>
    <n v="1147"/>
    <n v="1439"/>
    <n v="794"/>
    <n v="2.5660371000000001E-2"/>
    <n v="0.38322753100000001"/>
    <n v="1.254577158"/>
    <n v="0.265285667"/>
    <n v="6.807329E-3"/>
    <n v="2.9206549119999998"/>
  </r>
  <r>
    <s v="Control Campaign"/>
    <x v="12"/>
    <x v="0"/>
    <n v="2697"/>
    <n v="82847"/>
    <n v="68214"/>
    <n v="6554"/>
    <n v="2390"/>
    <n v="1975"/>
    <n v="1794"/>
    <n v="766"/>
    <n v="7.9109684E-2"/>
    <n v="0.301342691"/>
    <n v="0.90835443000000005"/>
    <n v="0.116875191"/>
    <n v="9.2459589999999998E-3"/>
    <n v="3.5208877279999999"/>
  </r>
  <r>
    <s v="Control Campaign"/>
    <x v="13"/>
    <x v="0"/>
    <n v="1875"/>
    <n v="145248"/>
    <n v="118632"/>
    <n v="4521"/>
    <n v="1209"/>
    <n v="1149"/>
    <n v="1339"/>
    <n v="788"/>
    <n v="3.1126074E-2"/>
    <n v="0.25414731299999999"/>
    <n v="1.165361184"/>
    <n v="0.17429772199999999"/>
    <n v="5.4252040000000003E-3"/>
    <n v="2.379441624"/>
  </r>
  <r>
    <s v="Control Campaign"/>
    <x v="14"/>
    <x v="0"/>
    <n v="2774"/>
    <n v="132845"/>
    <n v="102479"/>
    <n v="4896"/>
    <n v="1179"/>
    <n v="1005"/>
    <n v="1641"/>
    <n v="366"/>
    <n v="3.6854981000000002E-2"/>
    <n v="0.20526960799999999"/>
    <n v="1.632835821"/>
    <n v="7.4754901999999998E-2"/>
    <n v="2.7550909999999999E-3"/>
    <n v="7.5792349730000002"/>
  </r>
  <r>
    <s v="Control Campaign"/>
    <x v="15"/>
    <x v="0"/>
    <n v="2024"/>
    <n v="71274"/>
    <n v="42859"/>
    <n v="5224"/>
    <n v="2427"/>
    <n v="2158"/>
    <n v="1613"/>
    <n v="438"/>
    <n v="7.3294609999999996E-2"/>
    <n v="0.41309341500000002"/>
    <n v="0.74745134400000002"/>
    <n v="8.3843797999999997E-2"/>
    <n v="6.1452980000000004E-3"/>
    <n v="4.6210045659999999"/>
  </r>
  <r>
    <s v="Control Campaign"/>
    <x v="16"/>
    <x v="0"/>
    <n v="2177"/>
    <n v="119612"/>
    <n v="106518"/>
    <n v="6628"/>
    <n v="1756"/>
    <n v="1642"/>
    <n v="878"/>
    <n v="222"/>
    <n v="5.5412500000000003E-2"/>
    <n v="0.247736874"/>
    <n v="0.53471376400000004"/>
    <n v="3.3494267000000001E-2"/>
    <n v="1.8560009999999999E-3"/>
    <n v="9.8063063059999998"/>
  </r>
  <r>
    <s v="Control Campaign"/>
    <x v="17"/>
    <x v="0"/>
    <n v="1876"/>
    <n v="108452"/>
    <n v="96518"/>
    <n v="7253"/>
    <n v="2447"/>
    <n v="2115"/>
    <n v="1695"/>
    <n v="243"/>
    <n v="6.6877513E-2"/>
    <n v="0.29160347399999997"/>
    <n v="0.80141843999999995"/>
    <n v="3.3503378E-2"/>
    <n v="2.2406230000000002E-3"/>
    <n v="7.7201646090000002"/>
  </r>
  <r>
    <s v="Control Campaign"/>
    <x v="18"/>
    <x v="0"/>
    <n v="2596"/>
    <n v="107890"/>
    <n v="81268"/>
    <n v="3706"/>
    <n v="2483"/>
    <n v="2098"/>
    <n v="908"/>
    <n v="542"/>
    <n v="3.4349800999999999E-2"/>
    <n v="0.56610901199999997"/>
    <n v="0.43279313600000002"/>
    <n v="0.14624932500000001"/>
    <n v="5.0236350000000003E-3"/>
    <n v="4.7896678970000002"/>
  </r>
  <r>
    <s v="Control Campaign"/>
    <x v="19"/>
    <x v="0"/>
    <n v="2675"/>
    <n v="113430"/>
    <n v="78625"/>
    <n v="2578"/>
    <n v="1001"/>
    <n v="848"/>
    <n v="1709"/>
    <n v="299"/>
    <n v="2.2727673E-2"/>
    <n v="0.32893716099999998"/>
    <n v="2.0153301890000002"/>
    <n v="0.11598138099999999"/>
    <n v="2.6359869999999998E-3"/>
    <n v="8.9464882939999999"/>
  </r>
  <r>
    <s v="Control Campaign"/>
    <x v="20"/>
    <x v="0"/>
    <n v="1803"/>
    <n v="74654"/>
    <n v="59873"/>
    <n v="5691"/>
    <n v="2711"/>
    <n v="2496"/>
    <n v="1460"/>
    <n v="800"/>
    <n v="7.6231681999999995E-2"/>
    <n v="0.43858724300000002"/>
    <n v="0.58493589700000004"/>
    <n v="0.14057283400000001"/>
    <n v="1.0716104000000001E-2"/>
    <n v="2.2537500000000001"/>
  </r>
  <r>
    <s v="Control Campaign"/>
    <x v="21"/>
    <x v="0"/>
    <n v="2939"/>
    <n v="105705"/>
    <n v="86218"/>
    <n v="6843"/>
    <n v="3102"/>
    <n v="2988"/>
    <n v="819"/>
    <n v="387"/>
    <n v="6.4736767000000001E-2"/>
    <n v="0.436650592"/>
    <n v="0.27409638600000003"/>
    <n v="5.6554143000000001E-2"/>
    <n v="3.6611320000000001E-3"/>
    <n v="7.5943152449999998"/>
  </r>
  <r>
    <s v="Control Campaign"/>
    <x v="22"/>
    <x v="0"/>
    <n v="2496"/>
    <n v="129880"/>
    <n v="109413"/>
    <n v="4410"/>
    <n v="2896"/>
    <n v="2496"/>
    <n v="1913"/>
    <n v="766"/>
    <n v="3.3954419E-2"/>
    <n v="0.56598639500000003"/>
    <n v="0.76642628199999996"/>
    <n v="0.173696145"/>
    <n v="5.897752E-3"/>
    <n v="3.25848564"/>
  </r>
  <r>
    <s v="Control Campaign"/>
    <x v="23"/>
    <x v="0"/>
    <n v="1892"/>
    <n v="72515"/>
    <n v="51987"/>
    <n v="4085"/>
    <n v="1274"/>
    <n v="1149"/>
    <n v="1146"/>
    <n v="585"/>
    <n v="5.6333172000000001E-2"/>
    <n v="0.28127295000000002"/>
    <n v="0.99738903400000001"/>
    <n v="0.14320685399999999"/>
    <n v="8.0672959999999998E-3"/>
    <n v="3.2341880340000002"/>
  </r>
  <r>
    <s v="Control Campaign"/>
    <x v="24"/>
    <x v="0"/>
    <n v="1962"/>
    <n v="117006"/>
    <n v="100398"/>
    <n v="4234"/>
    <n v="2423"/>
    <n v="2096"/>
    <n v="883"/>
    <n v="386"/>
    <n v="3.6186177999999999E-2"/>
    <n v="0.49504015099999998"/>
    <n v="0.42127862599999999"/>
    <n v="9.1166744999999993E-2"/>
    <n v="3.2989759999999999E-3"/>
    <n v="5.0829015540000002"/>
  </r>
  <r>
    <s v="Control Campaign"/>
    <x v="25"/>
    <x v="0"/>
    <n v="2233"/>
    <n v="124897"/>
    <n v="98432"/>
    <n v="5435"/>
    <n v="2847"/>
    <n v="2421"/>
    <n v="1448"/>
    <n v="251"/>
    <n v="4.3515856999999998E-2"/>
    <n v="0.44544618200000002"/>
    <n v="0.59809995900000001"/>
    <n v="4.6182152999999997E-2"/>
    <n v="2.0096559999999999E-3"/>
    <n v="8.896414343"/>
  </r>
  <r>
    <s v="Control Campaign"/>
    <x v="26"/>
    <x v="0"/>
    <n v="2061"/>
    <n v="104678"/>
    <n v="91579"/>
    <n v="4941"/>
    <n v="3549"/>
    <n v="3249"/>
    <n v="980"/>
    <n v="605"/>
    <n v="4.7201895000000001E-2"/>
    <n v="0.65755919900000004"/>
    <n v="0.30163127099999998"/>
    <n v="0.12244484899999999"/>
    <n v="5.7796289999999997E-3"/>
    <n v="3.4066115699999999"/>
  </r>
  <r>
    <s v="Control Campaign"/>
    <x v="27"/>
    <x v="0"/>
    <n v="2421"/>
    <n v="141654"/>
    <n v="125874"/>
    <n v="6287"/>
    <n v="1672"/>
    <n v="1589"/>
    <n v="1711"/>
    <n v="643"/>
    <n v="4.4382791999999997E-2"/>
    <n v="0.25274375700000001"/>
    <n v="1.0767778480000001"/>
    <n v="0.102274535"/>
    <n v="4.5392289999999997E-3"/>
    <n v="3.765163297"/>
  </r>
  <r>
    <s v="Control Campaign"/>
    <x v="28"/>
    <x v="0"/>
    <n v="2375"/>
    <n v="92029"/>
    <n v="74192"/>
    <n v="8127"/>
    <n v="4891"/>
    <n v="4219"/>
    <n v="1486"/>
    <n v="334"/>
    <n v="8.8309120000000005E-2"/>
    <n v="0.519133752"/>
    <n v="0.35221616500000003"/>
    <n v="4.1097575999999997E-2"/>
    <n v="3.6292910000000002E-3"/>
    <n v="7.1107784430000001"/>
  </r>
  <r>
    <s v="Control Campaign"/>
    <x v="29"/>
    <x v="0"/>
    <n v="2324"/>
    <n v="111306"/>
    <n v="88632"/>
    <n v="4658"/>
    <n v="1615"/>
    <n v="1249"/>
    <n v="442"/>
    <n v="670"/>
    <n v="4.1848598000000001E-2"/>
    <n v="0.26814083300000002"/>
    <n v="0.353883106"/>
    <n v="0.14383855700000001"/>
    <n v="6.0194419999999998E-3"/>
    <n v="3.4686567159999999"/>
  </r>
  <r>
    <s v="Test Campaign"/>
    <x v="0"/>
    <x v="1"/>
    <n v="3008"/>
    <n v="39550"/>
    <n v="35820"/>
    <n v="3038"/>
    <n v="1946"/>
    <n v="1069"/>
    <n v="894"/>
    <n v="255"/>
    <n v="7.6814159000000007E-2"/>
    <n v="0.35187623400000001"/>
    <n v="0.83629560300000005"/>
    <n v="8.3936801000000005E-2"/>
    <n v="6.4475349999999999E-3"/>
    <n v="11.79607843"/>
  </r>
  <r>
    <s v="Test Campaign"/>
    <x v="1"/>
    <x v="1"/>
    <n v="2542"/>
    <n v="100719"/>
    <n v="91236"/>
    <n v="4657"/>
    <n v="2359"/>
    <n v="1548"/>
    <n v="879"/>
    <n v="677"/>
    <n v="4.6237552000000001E-2"/>
    <n v="0.33240283399999998"/>
    <n v="0.56782945699999998"/>
    <n v="0.14537255700000001"/>
    <n v="6.7216710000000002E-3"/>
    <n v="3.754800591"/>
  </r>
  <r>
    <s v="Test Campaign"/>
    <x v="2"/>
    <x v="1"/>
    <n v="2365"/>
    <n v="70263"/>
    <n v="45198"/>
    <n v="7885"/>
    <n v="2572"/>
    <n v="2367"/>
    <n v="1268"/>
    <n v="578"/>
    <n v="0.11222122599999999"/>
    <n v="0.30019023500000003"/>
    <n v="0.53569919700000002"/>
    <n v="7.3303741000000006E-2"/>
    <n v="8.2262359999999996E-3"/>
    <n v="4.0916955020000003"/>
  </r>
  <r>
    <s v="Test Campaign"/>
    <x v="3"/>
    <x v="1"/>
    <n v="2710"/>
    <n v="78451"/>
    <n v="25937"/>
    <n v="4216"/>
    <n v="2216"/>
    <n v="1437"/>
    <n v="566"/>
    <n v="340"/>
    <n v="5.3740550999999998E-2"/>
    <n v="0.34084440199999999"/>
    <n v="0.39387613100000002"/>
    <n v="8.0645161000000007E-2"/>
    <n v="4.3339149999999998E-3"/>
    <n v="7.9705882350000001"/>
  </r>
  <r>
    <s v="Test Campaign"/>
    <x v="4"/>
    <x v="1"/>
    <n v="2297"/>
    <n v="114295"/>
    <n v="95138"/>
    <n v="5863"/>
    <n v="2106"/>
    <n v="858"/>
    <n v="956"/>
    <n v="768"/>
    <n v="5.1297082000000001E-2"/>
    <n v="0.146341463"/>
    <n v="1.114219114"/>
    <n v="0.13099095999999999"/>
    <n v="6.7194539999999997E-3"/>
    <n v="2.9908854169999999"/>
  </r>
  <r>
    <s v="Test Campaign"/>
    <x v="5"/>
    <x v="1"/>
    <n v="2458"/>
    <n v="42684"/>
    <n v="31489"/>
    <n v="7488"/>
    <n v="1854"/>
    <n v="1073"/>
    <n v="882"/>
    <n v="488"/>
    <n v="0.175428732"/>
    <n v="0.14329594000000001"/>
    <n v="0.82199440800000001"/>
    <n v="6.5170939999999997E-2"/>
    <n v="1.1432855E-2"/>
    <n v="5.0368852459999998"/>
  </r>
  <r>
    <s v="Test Campaign"/>
    <x v="6"/>
    <x v="1"/>
    <n v="2838"/>
    <n v="53986"/>
    <n v="42148"/>
    <n v="4221"/>
    <n v="2733"/>
    <n v="2182"/>
    <n v="1301"/>
    <n v="890"/>
    <n v="7.8186936999999998E-2"/>
    <n v="0.51693911400000003"/>
    <n v="0.59624197999999995"/>
    <n v="0.21085050899999999"/>
    <n v="1.6485756000000001E-2"/>
    <n v="3.1887640450000001"/>
  </r>
  <r>
    <s v="Test Campaign"/>
    <x v="7"/>
    <x v="1"/>
    <n v="2916"/>
    <n v="33669"/>
    <n v="20149"/>
    <n v="7184"/>
    <n v="2867"/>
    <n v="2194"/>
    <n v="1240"/>
    <n v="431"/>
    <n v="0.21337135099999999"/>
    <n v="0.30540089100000001"/>
    <n v="0.56517775800000003"/>
    <n v="5.9994432E-2"/>
    <n v="1.2801092999999999E-2"/>
    <n v="6.7656612530000002"/>
  </r>
  <r>
    <s v="Test Campaign"/>
    <x v="8"/>
    <x v="1"/>
    <n v="2652"/>
    <n v="45511"/>
    <n v="31598"/>
    <n v="8259"/>
    <n v="2899"/>
    <n v="2761"/>
    <n v="1200"/>
    <n v="845"/>
    <n v="0.18147261100000001"/>
    <n v="0.334301974"/>
    <n v="0.43462513600000002"/>
    <n v="0.102312629"/>
    <n v="1.8566940000000001E-2"/>
    <n v="3.1384615380000001"/>
  </r>
  <r>
    <s v="Test Campaign"/>
    <x v="9"/>
    <x v="1"/>
    <n v="2790"/>
    <n v="95054"/>
    <n v="79632"/>
    <n v="8125"/>
    <n v="2312"/>
    <n v="1804"/>
    <n v="424"/>
    <n v="275"/>
    <n v="8.5477728000000003E-2"/>
    <n v="0.22203076899999999"/>
    <n v="0.23503325899999999"/>
    <n v="3.3846154000000003E-2"/>
    <n v="2.8930919999999999E-3"/>
    <n v="10.14545455"/>
  </r>
  <r>
    <s v="Test Campaign"/>
    <x v="10"/>
    <x v="1"/>
    <n v="2420"/>
    <n v="83633"/>
    <n v="71286"/>
    <n v="3750"/>
    <n v="2893"/>
    <n v="2617"/>
    <n v="1075"/>
    <n v="668"/>
    <n v="4.4838759999999998E-2"/>
    <n v="0.697866667"/>
    <n v="0.410775697"/>
    <n v="0.178133333"/>
    <n v="7.9872780000000004E-3"/>
    <n v="3.6227544909999998"/>
  </r>
  <r>
    <s v="Test Campaign"/>
    <x v="11"/>
    <x v="1"/>
    <n v="2831"/>
    <n v="124591"/>
    <n v="10598"/>
    <n v="8264"/>
    <n v="2081"/>
    <n v="1992"/>
    <n v="1382"/>
    <n v="709"/>
    <n v="6.6329028999999998E-2"/>
    <n v="0.241045499"/>
    <n v="0.69377509999999998"/>
    <n v="8.5793804000000001E-2"/>
    <n v="5.6906200000000004E-3"/>
    <n v="3.9929478139999999"/>
  </r>
  <r>
    <s v="Test Campaign"/>
    <x v="12"/>
    <x v="1"/>
    <n v="1972"/>
    <n v="65827"/>
    <n v="49531"/>
    <n v="7568"/>
    <n v="2213"/>
    <n v="2058"/>
    <n v="1391"/>
    <n v="812"/>
    <n v="0.114968022"/>
    <n v="0.27193446100000002"/>
    <n v="0.67589893099999998"/>
    <n v="0.107293869"/>
    <n v="1.2335364E-2"/>
    <n v="2.4285714289999998"/>
  </r>
  <r>
    <s v="Test Campaign"/>
    <x v="13"/>
    <x v="1"/>
    <n v="2537"/>
    <n v="56304"/>
    <n v="25982"/>
    <n v="3993"/>
    <n v="1979"/>
    <n v="1059"/>
    <n v="779"/>
    <n v="340"/>
    <n v="7.0918585000000006E-2"/>
    <n v="0.26521412500000002"/>
    <n v="0.73559962199999995"/>
    <n v="8.5149010999999997E-2"/>
    <n v="6.0386470000000003E-3"/>
    <n v="7.4617647060000003"/>
  </r>
  <r>
    <s v="Test Campaign"/>
    <x v="14"/>
    <x v="1"/>
    <n v="2516"/>
    <n v="94338"/>
    <n v="76219"/>
    <n v="4993"/>
    <n v="2537"/>
    <n v="1609"/>
    <n v="1090"/>
    <n v="398"/>
    <n v="5.2926710000000002E-2"/>
    <n v="0.32225115199999999"/>
    <n v="0.67743940300000005"/>
    <n v="7.9711595999999996E-2"/>
    <n v="4.2188729999999997E-3"/>
    <n v="6.3216080400000001"/>
  </r>
  <r>
    <s v="Test Campaign"/>
    <x v="15"/>
    <x v="1"/>
    <n v="3076"/>
    <n v="106584"/>
    <n v="81389"/>
    <n v="6800"/>
    <n v="2661"/>
    <n v="2594"/>
    <n v="1059"/>
    <n v="487"/>
    <n v="6.3799444999999996E-2"/>
    <n v="0.381470588"/>
    <n v="0.40824980700000002"/>
    <n v="7.1617647000000006E-2"/>
    <n v="4.5691660000000004E-3"/>
    <n v="6.316221766"/>
  </r>
  <r>
    <s v="Test Campaign"/>
    <x v="16"/>
    <x v="1"/>
    <n v="1968"/>
    <n v="95843"/>
    <n v="54389"/>
    <n v="7910"/>
    <n v="1995"/>
    <n v="1576"/>
    <n v="383"/>
    <n v="238"/>
    <n v="8.2530805999999998E-2"/>
    <n v="0.19924146600000001"/>
    <n v="0.24302030499999999"/>
    <n v="3.0088495999999999E-2"/>
    <n v="2.4832280000000001E-3"/>
    <n v="8.2689075630000008"/>
  </r>
  <r>
    <s v="Test Campaign"/>
    <x v="17"/>
    <x v="1"/>
    <n v="1979"/>
    <n v="53632"/>
    <n v="43241"/>
    <n v="6909"/>
    <n v="2824"/>
    <n v="2522"/>
    <n v="461"/>
    <n v="257"/>
    <n v="0.128822345"/>
    <n v="0.36503111900000001"/>
    <n v="0.182791435"/>
    <n v="3.7197858E-2"/>
    <n v="4.7919149999999999E-3"/>
    <n v="7.7003891050000002"/>
  </r>
  <r>
    <s v="Test Campaign"/>
    <x v="18"/>
    <x v="1"/>
    <n v="2626"/>
    <n v="22521"/>
    <n v="10698"/>
    <n v="7617"/>
    <n v="2924"/>
    <n v="2801"/>
    <n v="788"/>
    <n v="512"/>
    <n v="0.33821766399999997"/>
    <n v="0.36773007699999999"/>
    <n v="0.281328097"/>
    <n v="6.7218064999999994E-2"/>
    <n v="2.2734337E-2"/>
    <n v="5.12890625"/>
  </r>
  <r>
    <s v="Test Campaign"/>
    <x v="19"/>
    <x v="1"/>
    <n v="2712"/>
    <n v="39470"/>
    <n v="31893"/>
    <n v="6050"/>
    <n v="2061"/>
    <n v="1894"/>
    <n v="1047"/>
    <n v="730"/>
    <n v="0.15328097299999999"/>
    <n v="0.313057851"/>
    <n v="0.55279831000000001"/>
    <n v="0.120661157"/>
    <n v="1.8495060000000001E-2"/>
    <n v="3.715068493"/>
  </r>
  <r>
    <s v="Test Campaign"/>
    <x v="20"/>
    <x v="1"/>
    <n v="3112"/>
    <n v="133771"/>
    <n v="109834"/>
    <n v="5471"/>
    <n v="1995"/>
    <n v="1868"/>
    <n v="278"/>
    <n v="245"/>
    <n v="4.0898250999999997E-2"/>
    <n v="0.341436666"/>
    <n v="0.14882227000000001"/>
    <n v="4.4781575999999997E-2"/>
    <n v="1.831488E-3"/>
    <n v="12.702040820000001"/>
  </r>
  <r>
    <s v="Test Campaign"/>
    <x v="21"/>
    <x v="1"/>
    <n v="2899"/>
    <n v="34752"/>
    <n v="27932"/>
    <n v="4431"/>
    <n v="1983"/>
    <n v="1131"/>
    <n v="367"/>
    <n v="276"/>
    <n v="0.12750345299999999"/>
    <n v="0.25524712300000002"/>
    <n v="0.32449159999999999"/>
    <n v="6.2288422000000003E-2"/>
    <n v="7.941989E-3"/>
    <n v="10.503623190000001"/>
  </r>
  <r>
    <s v="Test Campaign"/>
    <x v="22"/>
    <x v="1"/>
    <n v="2407"/>
    <n v="60286"/>
    <n v="49329"/>
    <n v="5077"/>
    <n v="2592"/>
    <n v="2004"/>
    <n v="632"/>
    <n v="473"/>
    <n v="8.4215240999999996E-2"/>
    <n v="0.394721292"/>
    <n v="0.31536926100000001"/>
    <n v="9.3165255000000002E-2"/>
    <n v="7.8459340000000006E-3"/>
    <n v="5.0887949260000003"/>
  </r>
  <r>
    <s v="Test Campaign"/>
    <x v="23"/>
    <x v="1"/>
    <n v="2078"/>
    <n v="36650"/>
    <n v="30489"/>
    <n v="7156"/>
    <n v="2687"/>
    <n v="2427"/>
    <n v="327"/>
    <n v="269"/>
    <n v="0.195252387"/>
    <n v="0.33915595300000001"/>
    <n v="0.13473424000000001"/>
    <n v="3.7590832999999997E-2"/>
    <n v="7.3397000000000002E-3"/>
    <n v="7.7249070629999999"/>
  </r>
  <r>
    <s v="Test Campaign"/>
    <x v="24"/>
    <x v="1"/>
    <n v="2928"/>
    <n v="120576"/>
    <n v="105978"/>
    <n v="3596"/>
    <n v="2937"/>
    <n v="2551"/>
    <n v="1228"/>
    <n v="651"/>
    <n v="2.9823513999999999E-2"/>
    <n v="0.70939933300000002"/>
    <n v="0.48137985100000003"/>
    <n v="0.181034483"/>
    <n v="5.3990840000000002E-3"/>
    <n v="4.4976958529999997"/>
  </r>
  <r>
    <s v="Test Campaign"/>
    <x v="25"/>
    <x v="1"/>
    <n v="2311"/>
    <n v="80841"/>
    <n v="61589"/>
    <n v="3820"/>
    <n v="2037"/>
    <n v="1046"/>
    <n v="346"/>
    <n v="284"/>
    <n v="4.7253249999999997E-2"/>
    <n v="0.27382199000000002"/>
    <n v="0.33078393900000003"/>
    <n v="7.4345549999999996E-2"/>
    <n v="3.5130690000000002E-3"/>
    <n v="8.1373239440000003"/>
  </r>
  <r>
    <s v="Test Campaign"/>
    <x v="26"/>
    <x v="1"/>
    <n v="2915"/>
    <n v="111469"/>
    <n v="92159"/>
    <n v="6435"/>
    <n v="2976"/>
    <n v="2552"/>
    <n v="992"/>
    <n v="771"/>
    <n v="5.7729055000000001E-2"/>
    <n v="0.396581197"/>
    <n v="0.38871473400000001"/>
    <n v="0.11981352000000001"/>
    <n v="6.9167209999999998E-3"/>
    <n v="3.7808041499999998"/>
  </r>
  <r>
    <s v="Test Campaign"/>
    <x v="27"/>
    <x v="1"/>
    <n v="2247"/>
    <n v="54627"/>
    <n v="41267"/>
    <n v="8144"/>
    <n v="2432"/>
    <n v="1281"/>
    <n v="1009"/>
    <n v="721"/>
    <n v="0.149083786"/>
    <n v="0.157293713"/>
    <n v="0.78766588599999998"/>
    <n v="8.8531434000000006E-2"/>
    <n v="1.3198601000000001E-2"/>
    <n v="3.116504854"/>
  </r>
  <r>
    <s v="Test Campaign"/>
    <x v="28"/>
    <x v="1"/>
    <n v="2805"/>
    <n v="67444"/>
    <n v="43219"/>
    <n v="7651"/>
    <n v="1920"/>
    <n v="1240"/>
    <n v="1168"/>
    <n v="677"/>
    <n v="0.113442263"/>
    <n v="0.16207031799999999"/>
    <n v="0.94193548400000005"/>
    <n v="8.8485165000000005E-2"/>
    <n v="1.0037957E-2"/>
    <n v="4.1432791729999998"/>
  </r>
  <r>
    <s v="Test Campaign"/>
    <x v="29"/>
    <x v="1"/>
    <n v="1977"/>
    <n v="120203"/>
    <n v="89380"/>
    <n v="4399"/>
    <n v="2978"/>
    <n v="1625"/>
    <n v="1034"/>
    <n v="572"/>
    <n v="3.6596424000000002E-2"/>
    <n v="0.36940213700000002"/>
    <n v="0.63630769200000004"/>
    <n v="0.13002955199999999"/>
    <n v="4.7586169999999997E-3"/>
    <n v="3.456293705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2D322-20D7-4174-8032-FB5B6780E12E}" name="PivotTable3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3">
  <location ref="A3:D34" firstHeaderRow="1" firstDataRow="2" firstDataCol="1"/>
  <pivotFields count="17">
    <pivotField showAll="0"/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2"/>
  </colFields>
  <colItems count="3">
    <i>
      <x/>
    </i>
    <i>
      <x v="1"/>
    </i>
    <i t="grand">
      <x/>
    </i>
  </colItems>
  <dataFields count="1">
    <dataField name="Average of purchase_rate_click" fld="14" subtotal="average" baseField="1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FB36B5-DFA1-4DAB-AD99-6ADD515323AE}" autoFormatId="16" applyNumberFormats="0" applyBorderFormats="0" applyFontFormats="0" applyPatternFormats="0" applyAlignmentFormats="0" applyWidthHeightFormats="0">
  <queryTableRefresh nextId="18">
    <queryTableFields count="17">
      <queryTableField id="1" name="campaign_name" tableColumnId="1"/>
      <queryTableField id="2" name="date" tableColumnId="2"/>
      <queryTableField id="3" name="is_test" tableColumnId="3"/>
      <queryTableField id="4" name="spend_usd" tableColumnId="4"/>
      <queryTableField id="5" name="impressions" tableColumnId="5"/>
      <queryTableField id="6" name="reach" tableColumnId="6"/>
      <queryTableField id="7" name="website_clicks" tableColumnId="7"/>
      <queryTableField id="8" name="searches" tableColumnId="8"/>
      <queryTableField id="9" name="view_content" tableColumnId="9"/>
      <queryTableField id="10" name="add_to_cart" tableColumnId="10"/>
      <queryTableField id="11" name="purchase" tableColumnId="11"/>
      <queryTableField id="12" name="ctr" tableColumnId="12"/>
      <queryTableField id="13" name="view_content_rate" tableColumnId="13"/>
      <queryTableField id="14" name="add_to_cart_rate" tableColumnId="14"/>
      <queryTableField id="15" name="purchase_rate_click" tableColumnId="15"/>
      <queryTableField id="16" name="purchase_rate_impression" tableColumnId="16"/>
      <queryTableField id="17" name="cost_per_purchase 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E658149-3E34-491E-B51D-70ABB2C96C31}" autoFormatId="16" applyNumberFormats="0" applyBorderFormats="0" applyFontFormats="0" applyPatternFormats="0" applyAlignmentFormats="0" applyWidthHeightFormats="0">
  <queryTableRefresh nextId="11">
    <queryTableFields count="10">
      <queryTableField id="1" name="metric" tableColumnId="1"/>
      <queryTableField id="2" name="control_mean" tableColumnId="2"/>
      <queryTableField id="3" name="test_mean" tableColumnId="3"/>
      <queryTableField id="4" name="absolute_lift" tableColumnId="4"/>
      <queryTableField id="5" name="percent_lift" tableColumnId="5"/>
      <queryTableField id="6" name="t_pvalue" tableColumnId="6"/>
      <queryTableField id="7" name="mw_pvalue" tableColumnId="7"/>
      <queryTableField id="8" name="cohens_d" tableColumnId="8"/>
      <queryTableField id="9" name="ci_lower" tableColumnId="9"/>
      <queryTableField id="10" name="ci_uppe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C3EFE5-9BDE-414D-8BE5-3213F74DF48D}" name="experiment_dataset" displayName="experiment_dataset" ref="A1:Q61" tableType="queryTable" totalsRowShown="0">
  <autoFilter ref="A1:Q61" xr:uid="{19C3EFE5-9BDE-414D-8BE5-3213F74DF48D}"/>
  <tableColumns count="17">
    <tableColumn id="1" xr3:uid="{2957104A-D867-4464-A2BD-B7838ACF0503}" uniqueName="1" name="campaign_name" queryTableFieldId="1" dataDxfId="2"/>
    <tableColumn id="2" xr3:uid="{DE067040-4AB5-4FF3-A089-6D89645C2D48}" uniqueName="2" name="date" queryTableFieldId="2" dataDxfId="1"/>
    <tableColumn id="3" xr3:uid="{75B353B2-4D4C-4A1F-A551-47321606CFA0}" uniqueName="3" name="is_test" queryTableFieldId="3"/>
    <tableColumn id="4" xr3:uid="{1029C4A8-BBB8-4AC1-9039-6FAEE5C1E810}" uniqueName="4" name="spend_usd" queryTableFieldId="4"/>
    <tableColumn id="5" xr3:uid="{518362A3-D0DA-438F-98D1-9F270B9F0430}" uniqueName="5" name="impressions" queryTableFieldId="5"/>
    <tableColumn id="6" xr3:uid="{3F8F12F7-1259-4FD1-8CE0-2AFCB4552591}" uniqueName="6" name="reach" queryTableFieldId="6"/>
    <tableColumn id="7" xr3:uid="{E2B35489-A08A-4721-9505-D5ABA9F58693}" uniqueName="7" name="website_clicks" queryTableFieldId="7"/>
    <tableColumn id="8" xr3:uid="{EBD276E6-2F44-4171-98D1-ED8DB09F67BD}" uniqueName="8" name="searches" queryTableFieldId="8"/>
    <tableColumn id="9" xr3:uid="{255D8E28-8505-4415-B68E-9ABBFB9AC615}" uniqueName="9" name="view_content" queryTableFieldId="9"/>
    <tableColumn id="10" xr3:uid="{157DD3AD-579F-4827-B6D9-4B124901591E}" uniqueName="10" name="add_to_cart" queryTableFieldId="10"/>
    <tableColumn id="11" xr3:uid="{E1C7E830-1987-4150-AE98-DD6F9364C43F}" uniqueName="11" name="purchase" queryTableFieldId="11"/>
    <tableColumn id="12" xr3:uid="{AE510B0F-F342-40D9-9108-DC821E8A7ED1}" uniqueName="12" name="ctr" queryTableFieldId="12"/>
    <tableColumn id="13" xr3:uid="{E89AAF4C-DF9C-4365-8A41-6150DAC5F962}" uniqueName="13" name="view_content_rate" queryTableFieldId="13"/>
    <tableColumn id="14" xr3:uid="{534C1396-2EA0-4DC2-AF64-5F8AA5C92511}" uniqueName="14" name="add_to_cart_rate" queryTableFieldId="14"/>
    <tableColumn id="15" xr3:uid="{1EB0EDEB-90A5-4387-B9D5-26EC11C1EB21}" uniqueName="15" name="purchase_rate_click" queryTableFieldId="15"/>
    <tableColumn id="16" xr3:uid="{ABB9C262-95ED-429F-8068-CB8F830FAF63}" uniqueName="16" name="purchase_rate_impression" queryTableFieldId="16"/>
    <tableColumn id="17" xr3:uid="{7853C32A-6E63-4C1F-A092-F1A3AD6012AD}" uniqueName="17" name="cost_per_purchase 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710DDB-AE6D-42ED-9E48-B8408E684173}" name="experiment_results" displayName="experiment_results" ref="A1:J5" tableType="queryTable" totalsRowShown="0">
  <autoFilter ref="A1:J5" xr:uid="{A8710DDB-AE6D-42ED-9E48-B8408E684173}"/>
  <tableColumns count="10">
    <tableColumn id="1" xr3:uid="{947B0078-AC4A-45D8-92B9-8B0397914C70}" uniqueName="1" name="metric" queryTableFieldId="1" dataDxfId="0"/>
    <tableColumn id="2" xr3:uid="{88A3927D-ACD4-428E-8641-9059093E4B2A}" uniqueName="2" name="control_mean" queryTableFieldId="2"/>
    <tableColumn id="3" xr3:uid="{D14E9E33-D7F0-4BA9-99DF-065D3AB5A9EF}" uniqueName="3" name="test_mean" queryTableFieldId="3"/>
    <tableColumn id="4" xr3:uid="{86B99D18-E830-46F2-8BAD-54093B5343A2}" uniqueName="4" name="absolute_lift" queryTableFieldId="4"/>
    <tableColumn id="5" xr3:uid="{FC17F308-8C35-4FDE-983A-7CE948A6664E}" uniqueName="5" name="percent_lift" queryTableFieldId="5"/>
    <tableColumn id="6" xr3:uid="{CEC9412C-43BE-4724-A351-425769EF2622}" uniqueName="6" name="t_pvalue" queryTableFieldId="6"/>
    <tableColumn id="7" xr3:uid="{ED0D1C46-B9B2-4C64-BABB-2C37D8FE1C05}" uniqueName="7" name="mw_pvalue" queryTableFieldId="7"/>
    <tableColumn id="8" xr3:uid="{FE89F9E4-FF81-4A17-B61A-ADE94ADE4AA4}" uniqueName="8" name="cohens_d" queryTableFieldId="8"/>
    <tableColumn id="9" xr3:uid="{E93DB2A9-AB2B-4D31-AD43-79C1113EFC53}" uniqueName="9" name="ci_lower" queryTableFieldId="9"/>
    <tableColumn id="10" xr3:uid="{DCB1F9BB-2953-4C9D-8886-B94F96A3E737}" uniqueName="10" name="ci_uppe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A960-E58D-4996-A651-5FF2B869706F}">
  <dimension ref="A1:Q61"/>
  <sheetViews>
    <sheetView workbookViewId="0"/>
  </sheetViews>
  <sheetFormatPr defaultRowHeight="15" x14ac:dyDescent="0.25"/>
  <cols>
    <col min="1" max="1" width="18.28515625" bestFit="1" customWidth="1"/>
    <col min="2" max="2" width="10.42578125" bestFit="1" customWidth="1"/>
    <col min="3" max="3" width="9.7109375" bestFit="1" customWidth="1"/>
    <col min="4" max="4" width="13.42578125" bestFit="1" customWidth="1"/>
    <col min="5" max="5" width="14.85546875" bestFit="1" customWidth="1"/>
    <col min="6" max="6" width="8.7109375" bestFit="1" customWidth="1"/>
    <col min="7" max="7" width="17" bestFit="1" customWidth="1"/>
    <col min="8" max="8" width="11.85546875" bestFit="1" customWidth="1"/>
    <col min="9" max="9" width="15.85546875" bestFit="1" customWidth="1"/>
    <col min="10" max="10" width="14" bestFit="1" customWidth="1"/>
    <col min="11" max="12" width="12" bestFit="1" customWidth="1"/>
    <col min="13" max="13" width="20.42578125" bestFit="1" customWidth="1"/>
    <col min="14" max="14" width="18.5703125" bestFit="1" customWidth="1"/>
    <col min="15" max="15" width="21.7109375" bestFit="1" customWidth="1"/>
    <col min="16" max="16" width="27.85546875" bestFit="1" customWidth="1"/>
    <col min="17" max="17" width="21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2">
        <v>43678</v>
      </c>
      <c r="C2">
        <v>0</v>
      </c>
      <c r="D2">
        <v>2280</v>
      </c>
      <c r="E2">
        <v>82702</v>
      </c>
      <c r="F2">
        <v>56930</v>
      </c>
      <c r="G2">
        <v>7016</v>
      </c>
      <c r="H2">
        <v>2290</v>
      </c>
      <c r="I2">
        <v>2159</v>
      </c>
      <c r="J2">
        <v>1819</v>
      </c>
      <c r="K2">
        <v>618</v>
      </c>
      <c r="L2">
        <v>8.4834707999999995E-2</v>
      </c>
      <c r="M2">
        <v>0.30772519999999998</v>
      </c>
      <c r="N2">
        <v>0.84251968499999996</v>
      </c>
      <c r="O2">
        <v>8.8084379000000004E-2</v>
      </c>
      <c r="P2">
        <v>7.4726130000000003E-3</v>
      </c>
      <c r="Q2">
        <v>3.6893203880000001</v>
      </c>
    </row>
    <row r="3" spans="1:17" x14ac:dyDescent="0.25">
      <c r="A3" s="1" t="s">
        <v>17</v>
      </c>
      <c r="B3" s="2">
        <v>43679</v>
      </c>
      <c r="C3">
        <v>0</v>
      </c>
      <c r="D3">
        <v>1757</v>
      </c>
      <c r="E3">
        <v>121040</v>
      </c>
      <c r="F3">
        <v>102513</v>
      </c>
      <c r="G3">
        <v>8110</v>
      </c>
      <c r="H3">
        <v>2033</v>
      </c>
      <c r="I3">
        <v>1841</v>
      </c>
      <c r="J3">
        <v>1219</v>
      </c>
      <c r="K3">
        <v>511</v>
      </c>
      <c r="L3">
        <v>6.7002644E-2</v>
      </c>
      <c r="M3">
        <v>0.227003699</v>
      </c>
      <c r="N3">
        <v>0.66214014099999996</v>
      </c>
      <c r="O3">
        <v>6.3008630999999996E-2</v>
      </c>
      <c r="P3">
        <v>4.2217449999999998E-3</v>
      </c>
      <c r="Q3">
        <v>3.438356164</v>
      </c>
    </row>
    <row r="4" spans="1:17" x14ac:dyDescent="0.25">
      <c r="A4" s="1" t="s">
        <v>17</v>
      </c>
      <c r="B4" s="2">
        <v>43680</v>
      </c>
      <c r="C4">
        <v>0</v>
      </c>
      <c r="D4">
        <v>2343</v>
      </c>
      <c r="E4">
        <v>131711</v>
      </c>
      <c r="F4">
        <v>110862</v>
      </c>
      <c r="G4">
        <v>6508</v>
      </c>
      <c r="H4">
        <v>1737</v>
      </c>
      <c r="I4">
        <v>1549</v>
      </c>
      <c r="J4">
        <v>1134</v>
      </c>
      <c r="K4">
        <v>372</v>
      </c>
      <c r="L4">
        <v>4.9411210999999997E-2</v>
      </c>
      <c r="M4">
        <v>0.238014751</v>
      </c>
      <c r="N4">
        <v>0.73208521599999998</v>
      </c>
      <c r="O4">
        <v>5.7160417999999998E-2</v>
      </c>
      <c r="P4">
        <v>2.8243650000000001E-3</v>
      </c>
      <c r="Q4">
        <v>6.298387097</v>
      </c>
    </row>
    <row r="5" spans="1:17" x14ac:dyDescent="0.25">
      <c r="A5" s="1" t="s">
        <v>17</v>
      </c>
      <c r="B5" s="2">
        <v>43681</v>
      </c>
      <c r="C5">
        <v>0</v>
      </c>
      <c r="D5">
        <v>1940</v>
      </c>
      <c r="E5">
        <v>72878</v>
      </c>
      <c r="F5">
        <v>61235</v>
      </c>
      <c r="G5">
        <v>3065</v>
      </c>
      <c r="H5">
        <v>1042</v>
      </c>
      <c r="I5">
        <v>982</v>
      </c>
      <c r="J5">
        <v>1183</v>
      </c>
      <c r="K5">
        <v>340</v>
      </c>
      <c r="L5">
        <v>4.2056587999999999E-2</v>
      </c>
      <c r="M5">
        <v>0.32039151700000001</v>
      </c>
      <c r="N5">
        <v>1.204684318</v>
      </c>
      <c r="O5">
        <v>0.11092985299999999</v>
      </c>
      <c r="P5">
        <v>4.665331E-3</v>
      </c>
      <c r="Q5">
        <v>5.7058823529999998</v>
      </c>
    </row>
    <row r="6" spans="1:17" x14ac:dyDescent="0.25">
      <c r="A6" s="1" t="s">
        <v>17</v>
      </c>
      <c r="B6" s="2">
        <v>43682</v>
      </c>
      <c r="C6">
        <v>0</v>
      </c>
      <c r="D6">
        <v>1835</v>
      </c>
    </row>
    <row r="7" spans="1:17" x14ac:dyDescent="0.25">
      <c r="A7" s="1" t="s">
        <v>17</v>
      </c>
      <c r="B7" s="2">
        <v>43683</v>
      </c>
      <c r="C7">
        <v>0</v>
      </c>
      <c r="D7">
        <v>3083</v>
      </c>
      <c r="E7">
        <v>109076</v>
      </c>
      <c r="F7">
        <v>87998</v>
      </c>
      <c r="G7">
        <v>4028</v>
      </c>
      <c r="H7">
        <v>1709</v>
      </c>
      <c r="I7">
        <v>1249</v>
      </c>
      <c r="J7">
        <v>784</v>
      </c>
      <c r="K7">
        <v>764</v>
      </c>
      <c r="L7">
        <v>3.6928379999999997E-2</v>
      </c>
      <c r="M7">
        <v>0.31007944399999998</v>
      </c>
      <c r="N7">
        <v>0.62770216199999995</v>
      </c>
      <c r="O7">
        <v>0.18967229399999999</v>
      </c>
      <c r="P7">
        <v>7.0042910000000002E-3</v>
      </c>
      <c r="Q7">
        <v>4.0353403139999999</v>
      </c>
    </row>
    <row r="8" spans="1:17" x14ac:dyDescent="0.25">
      <c r="A8" s="1" t="s">
        <v>17</v>
      </c>
      <c r="B8" s="2">
        <v>43684</v>
      </c>
      <c r="C8">
        <v>0</v>
      </c>
      <c r="D8">
        <v>2544</v>
      </c>
      <c r="E8">
        <v>142123</v>
      </c>
      <c r="F8">
        <v>127852</v>
      </c>
      <c r="G8">
        <v>2640</v>
      </c>
      <c r="H8">
        <v>1388</v>
      </c>
      <c r="I8">
        <v>1106</v>
      </c>
      <c r="J8">
        <v>1166</v>
      </c>
      <c r="K8">
        <v>499</v>
      </c>
      <c r="L8">
        <v>1.8575458999999999E-2</v>
      </c>
      <c r="M8">
        <v>0.41893939400000002</v>
      </c>
      <c r="N8">
        <v>1.054249548</v>
      </c>
      <c r="O8">
        <v>0.18901515199999999</v>
      </c>
      <c r="P8">
        <v>3.5110430000000001E-3</v>
      </c>
      <c r="Q8">
        <v>5.0981963930000003</v>
      </c>
    </row>
    <row r="9" spans="1:17" x14ac:dyDescent="0.25">
      <c r="A9" s="1" t="s">
        <v>17</v>
      </c>
      <c r="B9" s="2">
        <v>43685</v>
      </c>
      <c r="C9">
        <v>0</v>
      </c>
      <c r="D9">
        <v>1900</v>
      </c>
      <c r="E9">
        <v>90939</v>
      </c>
      <c r="F9">
        <v>65217</v>
      </c>
      <c r="G9">
        <v>7260</v>
      </c>
      <c r="H9">
        <v>3047</v>
      </c>
      <c r="I9">
        <v>2746</v>
      </c>
      <c r="J9">
        <v>930</v>
      </c>
      <c r="K9">
        <v>462</v>
      </c>
      <c r="L9">
        <v>7.9833735000000003E-2</v>
      </c>
      <c r="M9">
        <v>0.37823691500000001</v>
      </c>
      <c r="N9">
        <v>0.33867443600000002</v>
      </c>
      <c r="O9">
        <v>6.3636364000000001E-2</v>
      </c>
      <c r="P9">
        <v>5.0803289999999997E-3</v>
      </c>
      <c r="Q9">
        <v>4.1125541129999998</v>
      </c>
    </row>
    <row r="10" spans="1:17" x14ac:dyDescent="0.25">
      <c r="A10" s="1" t="s">
        <v>17</v>
      </c>
      <c r="B10" s="2">
        <v>43686</v>
      </c>
      <c r="C10">
        <v>0</v>
      </c>
      <c r="D10">
        <v>2813</v>
      </c>
      <c r="E10">
        <v>121332</v>
      </c>
      <c r="F10">
        <v>94896</v>
      </c>
      <c r="G10">
        <v>6198</v>
      </c>
      <c r="H10">
        <v>2487</v>
      </c>
      <c r="I10">
        <v>2179</v>
      </c>
      <c r="J10">
        <v>645</v>
      </c>
      <c r="K10">
        <v>501</v>
      </c>
      <c r="L10">
        <v>5.1082979000000001E-2</v>
      </c>
      <c r="M10">
        <v>0.35156502099999998</v>
      </c>
      <c r="N10">
        <v>0.29600734299999998</v>
      </c>
      <c r="O10">
        <v>8.0832527000000001E-2</v>
      </c>
      <c r="P10">
        <v>4.1291660000000001E-3</v>
      </c>
      <c r="Q10">
        <v>5.6147704589999998</v>
      </c>
    </row>
    <row r="11" spans="1:17" x14ac:dyDescent="0.25">
      <c r="A11" s="1" t="s">
        <v>17</v>
      </c>
      <c r="B11" s="2">
        <v>43687</v>
      </c>
      <c r="C11">
        <v>0</v>
      </c>
      <c r="D11">
        <v>2149</v>
      </c>
      <c r="E11">
        <v>117624</v>
      </c>
      <c r="F11">
        <v>91257</v>
      </c>
      <c r="G11">
        <v>2277</v>
      </c>
      <c r="H11">
        <v>2475</v>
      </c>
      <c r="I11">
        <v>1984</v>
      </c>
      <c r="J11">
        <v>1629</v>
      </c>
      <c r="K11">
        <v>734</v>
      </c>
      <c r="L11">
        <v>1.9358294000000002E-2</v>
      </c>
      <c r="M11">
        <v>0.871321915</v>
      </c>
      <c r="N11">
        <v>0.82106854799999995</v>
      </c>
      <c r="O11">
        <v>0.32235397500000001</v>
      </c>
      <c r="P11">
        <v>6.2402229999999996E-3</v>
      </c>
      <c r="Q11">
        <v>2.927792916</v>
      </c>
    </row>
    <row r="12" spans="1:17" x14ac:dyDescent="0.25">
      <c r="A12" s="1" t="s">
        <v>17</v>
      </c>
      <c r="B12" s="2">
        <v>43688</v>
      </c>
      <c r="C12">
        <v>0</v>
      </c>
      <c r="D12">
        <v>2490</v>
      </c>
      <c r="E12">
        <v>115247</v>
      </c>
      <c r="F12">
        <v>95843</v>
      </c>
      <c r="G12">
        <v>8137</v>
      </c>
      <c r="H12">
        <v>2941</v>
      </c>
      <c r="I12">
        <v>2486</v>
      </c>
      <c r="J12">
        <v>1887</v>
      </c>
      <c r="K12">
        <v>475</v>
      </c>
      <c r="L12">
        <v>7.0604874999999997E-2</v>
      </c>
      <c r="M12">
        <v>0.30551800400000001</v>
      </c>
      <c r="N12">
        <v>0.75905068399999998</v>
      </c>
      <c r="O12">
        <v>5.8375323E-2</v>
      </c>
      <c r="P12">
        <v>4.1215820000000004E-3</v>
      </c>
      <c r="Q12">
        <v>5.242105263</v>
      </c>
    </row>
    <row r="13" spans="1:17" x14ac:dyDescent="0.25">
      <c r="A13" s="1" t="s">
        <v>17</v>
      </c>
      <c r="B13" s="2">
        <v>43689</v>
      </c>
      <c r="C13">
        <v>0</v>
      </c>
      <c r="D13">
        <v>2319</v>
      </c>
      <c r="E13">
        <v>116639</v>
      </c>
      <c r="F13">
        <v>100189</v>
      </c>
      <c r="G13">
        <v>2993</v>
      </c>
      <c r="H13">
        <v>1397</v>
      </c>
      <c r="I13">
        <v>1147</v>
      </c>
      <c r="J13">
        <v>1439</v>
      </c>
      <c r="K13">
        <v>794</v>
      </c>
      <c r="L13">
        <v>2.5660371000000001E-2</v>
      </c>
      <c r="M13">
        <v>0.38322753100000001</v>
      </c>
      <c r="N13">
        <v>1.254577158</v>
      </c>
      <c r="O13">
        <v>0.265285667</v>
      </c>
      <c r="P13">
        <v>6.807329E-3</v>
      </c>
      <c r="Q13">
        <v>2.9206549119999998</v>
      </c>
    </row>
    <row r="14" spans="1:17" x14ac:dyDescent="0.25">
      <c r="A14" s="1" t="s">
        <v>17</v>
      </c>
      <c r="B14" s="2">
        <v>43690</v>
      </c>
      <c r="C14">
        <v>0</v>
      </c>
      <c r="D14">
        <v>2697</v>
      </c>
      <c r="E14">
        <v>82847</v>
      </c>
      <c r="F14">
        <v>68214</v>
      </c>
      <c r="G14">
        <v>6554</v>
      </c>
      <c r="H14">
        <v>2390</v>
      </c>
      <c r="I14">
        <v>1975</v>
      </c>
      <c r="J14">
        <v>1794</v>
      </c>
      <c r="K14">
        <v>766</v>
      </c>
      <c r="L14">
        <v>7.9109684E-2</v>
      </c>
      <c r="M14">
        <v>0.301342691</v>
      </c>
      <c r="N14">
        <v>0.90835443000000005</v>
      </c>
      <c r="O14">
        <v>0.116875191</v>
      </c>
      <c r="P14">
        <v>9.2459589999999998E-3</v>
      </c>
      <c r="Q14">
        <v>3.5208877279999999</v>
      </c>
    </row>
    <row r="15" spans="1:17" x14ac:dyDescent="0.25">
      <c r="A15" s="1" t="s">
        <v>17</v>
      </c>
      <c r="B15" s="2">
        <v>43691</v>
      </c>
      <c r="C15">
        <v>0</v>
      </c>
      <c r="D15">
        <v>1875</v>
      </c>
      <c r="E15">
        <v>145248</v>
      </c>
      <c r="F15">
        <v>118632</v>
      </c>
      <c r="G15">
        <v>4521</v>
      </c>
      <c r="H15">
        <v>1209</v>
      </c>
      <c r="I15">
        <v>1149</v>
      </c>
      <c r="J15">
        <v>1339</v>
      </c>
      <c r="K15">
        <v>788</v>
      </c>
      <c r="L15">
        <v>3.1126074E-2</v>
      </c>
      <c r="M15">
        <v>0.25414731299999999</v>
      </c>
      <c r="N15">
        <v>1.165361184</v>
      </c>
      <c r="O15">
        <v>0.17429772199999999</v>
      </c>
      <c r="P15">
        <v>5.4252040000000003E-3</v>
      </c>
      <c r="Q15">
        <v>2.379441624</v>
      </c>
    </row>
    <row r="16" spans="1:17" x14ac:dyDescent="0.25">
      <c r="A16" s="1" t="s">
        <v>17</v>
      </c>
      <c r="B16" s="2">
        <v>43692</v>
      </c>
      <c r="C16">
        <v>0</v>
      </c>
      <c r="D16">
        <v>2774</v>
      </c>
      <c r="E16">
        <v>132845</v>
      </c>
      <c r="F16">
        <v>102479</v>
      </c>
      <c r="G16">
        <v>4896</v>
      </c>
      <c r="H16">
        <v>1179</v>
      </c>
      <c r="I16">
        <v>1005</v>
      </c>
      <c r="J16">
        <v>1641</v>
      </c>
      <c r="K16">
        <v>366</v>
      </c>
      <c r="L16">
        <v>3.6854981000000002E-2</v>
      </c>
      <c r="M16">
        <v>0.20526960799999999</v>
      </c>
      <c r="N16">
        <v>1.632835821</v>
      </c>
      <c r="O16">
        <v>7.4754901999999998E-2</v>
      </c>
      <c r="P16">
        <v>2.7550909999999999E-3</v>
      </c>
      <c r="Q16">
        <v>7.5792349730000002</v>
      </c>
    </row>
    <row r="17" spans="1:17" x14ac:dyDescent="0.25">
      <c r="A17" s="1" t="s">
        <v>17</v>
      </c>
      <c r="B17" s="2">
        <v>43693</v>
      </c>
      <c r="C17">
        <v>0</v>
      </c>
      <c r="D17">
        <v>2024</v>
      </c>
      <c r="E17">
        <v>71274</v>
      </c>
      <c r="F17">
        <v>42859</v>
      </c>
      <c r="G17">
        <v>5224</v>
      </c>
      <c r="H17">
        <v>2427</v>
      </c>
      <c r="I17">
        <v>2158</v>
      </c>
      <c r="J17">
        <v>1613</v>
      </c>
      <c r="K17">
        <v>438</v>
      </c>
      <c r="L17">
        <v>7.3294609999999996E-2</v>
      </c>
      <c r="M17">
        <v>0.41309341500000002</v>
      </c>
      <c r="N17">
        <v>0.74745134400000002</v>
      </c>
      <c r="O17">
        <v>8.3843797999999997E-2</v>
      </c>
      <c r="P17">
        <v>6.1452980000000004E-3</v>
      </c>
      <c r="Q17">
        <v>4.6210045659999999</v>
      </c>
    </row>
    <row r="18" spans="1:17" x14ac:dyDescent="0.25">
      <c r="A18" s="1" t="s">
        <v>17</v>
      </c>
      <c r="B18" s="2">
        <v>43694</v>
      </c>
      <c r="C18">
        <v>0</v>
      </c>
      <c r="D18">
        <v>2177</v>
      </c>
      <c r="E18">
        <v>119612</v>
      </c>
      <c r="F18">
        <v>106518</v>
      </c>
      <c r="G18">
        <v>6628</v>
      </c>
      <c r="H18">
        <v>1756</v>
      </c>
      <c r="I18">
        <v>1642</v>
      </c>
      <c r="J18">
        <v>878</v>
      </c>
      <c r="K18">
        <v>222</v>
      </c>
      <c r="L18">
        <v>5.5412500000000003E-2</v>
      </c>
      <c r="M18">
        <v>0.247736874</v>
      </c>
      <c r="N18">
        <v>0.53471376400000004</v>
      </c>
      <c r="O18">
        <v>3.3494267000000001E-2</v>
      </c>
      <c r="P18">
        <v>1.8560009999999999E-3</v>
      </c>
      <c r="Q18">
        <v>9.8063063059999998</v>
      </c>
    </row>
    <row r="19" spans="1:17" x14ac:dyDescent="0.25">
      <c r="A19" s="1" t="s">
        <v>17</v>
      </c>
      <c r="B19" s="2">
        <v>43695</v>
      </c>
      <c r="C19">
        <v>0</v>
      </c>
      <c r="D19">
        <v>1876</v>
      </c>
      <c r="E19">
        <v>108452</v>
      </c>
      <c r="F19">
        <v>96518</v>
      </c>
      <c r="G19">
        <v>7253</v>
      </c>
      <c r="H19">
        <v>2447</v>
      </c>
      <c r="I19">
        <v>2115</v>
      </c>
      <c r="J19">
        <v>1695</v>
      </c>
      <c r="K19">
        <v>243</v>
      </c>
      <c r="L19">
        <v>6.6877513E-2</v>
      </c>
      <c r="M19">
        <v>0.29160347399999997</v>
      </c>
      <c r="N19">
        <v>0.80141843999999995</v>
      </c>
      <c r="O19">
        <v>3.3503378E-2</v>
      </c>
      <c r="P19">
        <v>2.2406230000000002E-3</v>
      </c>
      <c r="Q19">
        <v>7.7201646090000002</v>
      </c>
    </row>
    <row r="20" spans="1:17" x14ac:dyDescent="0.25">
      <c r="A20" s="1" t="s">
        <v>17</v>
      </c>
      <c r="B20" s="2">
        <v>43696</v>
      </c>
      <c r="C20">
        <v>0</v>
      </c>
      <c r="D20">
        <v>2596</v>
      </c>
      <c r="E20">
        <v>107890</v>
      </c>
      <c r="F20">
        <v>81268</v>
      </c>
      <c r="G20">
        <v>3706</v>
      </c>
      <c r="H20">
        <v>2483</v>
      </c>
      <c r="I20">
        <v>2098</v>
      </c>
      <c r="J20">
        <v>908</v>
      </c>
      <c r="K20">
        <v>542</v>
      </c>
      <c r="L20">
        <v>3.4349800999999999E-2</v>
      </c>
      <c r="M20">
        <v>0.56610901199999997</v>
      </c>
      <c r="N20">
        <v>0.43279313600000002</v>
      </c>
      <c r="O20">
        <v>0.14624932500000001</v>
      </c>
      <c r="P20">
        <v>5.0236350000000003E-3</v>
      </c>
      <c r="Q20">
        <v>4.7896678970000002</v>
      </c>
    </row>
    <row r="21" spans="1:17" x14ac:dyDescent="0.25">
      <c r="A21" s="1" t="s">
        <v>17</v>
      </c>
      <c r="B21" s="2">
        <v>43697</v>
      </c>
      <c r="C21">
        <v>0</v>
      </c>
      <c r="D21">
        <v>2675</v>
      </c>
      <c r="E21">
        <v>113430</v>
      </c>
      <c r="F21">
        <v>78625</v>
      </c>
      <c r="G21">
        <v>2578</v>
      </c>
      <c r="H21">
        <v>1001</v>
      </c>
      <c r="I21">
        <v>848</v>
      </c>
      <c r="J21">
        <v>1709</v>
      </c>
      <c r="K21">
        <v>299</v>
      </c>
      <c r="L21">
        <v>2.2727673E-2</v>
      </c>
      <c r="M21">
        <v>0.32893716099999998</v>
      </c>
      <c r="N21">
        <v>2.0153301890000002</v>
      </c>
      <c r="O21">
        <v>0.11598138099999999</v>
      </c>
      <c r="P21">
        <v>2.6359869999999998E-3</v>
      </c>
      <c r="Q21">
        <v>8.9464882939999999</v>
      </c>
    </row>
    <row r="22" spans="1:17" x14ac:dyDescent="0.25">
      <c r="A22" s="1" t="s">
        <v>17</v>
      </c>
      <c r="B22" s="2">
        <v>43698</v>
      </c>
      <c r="C22">
        <v>0</v>
      </c>
      <c r="D22">
        <v>1803</v>
      </c>
      <c r="E22">
        <v>74654</v>
      </c>
      <c r="F22">
        <v>59873</v>
      </c>
      <c r="G22">
        <v>5691</v>
      </c>
      <c r="H22">
        <v>2711</v>
      </c>
      <c r="I22">
        <v>2496</v>
      </c>
      <c r="J22">
        <v>1460</v>
      </c>
      <c r="K22">
        <v>800</v>
      </c>
      <c r="L22">
        <v>7.6231681999999995E-2</v>
      </c>
      <c r="M22">
        <v>0.43858724300000002</v>
      </c>
      <c r="N22">
        <v>0.58493589700000004</v>
      </c>
      <c r="O22">
        <v>0.14057283400000001</v>
      </c>
      <c r="P22">
        <v>1.0716104000000001E-2</v>
      </c>
      <c r="Q22">
        <v>2.2537500000000001</v>
      </c>
    </row>
    <row r="23" spans="1:17" x14ac:dyDescent="0.25">
      <c r="A23" s="1" t="s">
        <v>17</v>
      </c>
      <c r="B23" s="2">
        <v>43699</v>
      </c>
      <c r="C23">
        <v>0</v>
      </c>
      <c r="D23">
        <v>2939</v>
      </c>
      <c r="E23">
        <v>105705</v>
      </c>
      <c r="F23">
        <v>86218</v>
      </c>
      <c r="G23">
        <v>6843</v>
      </c>
      <c r="H23">
        <v>3102</v>
      </c>
      <c r="I23">
        <v>2988</v>
      </c>
      <c r="J23">
        <v>819</v>
      </c>
      <c r="K23">
        <v>387</v>
      </c>
      <c r="L23">
        <v>6.4736767000000001E-2</v>
      </c>
      <c r="M23">
        <v>0.436650592</v>
      </c>
      <c r="N23">
        <v>0.27409638600000003</v>
      </c>
      <c r="O23">
        <v>5.6554143000000001E-2</v>
      </c>
      <c r="P23">
        <v>3.6611320000000001E-3</v>
      </c>
      <c r="Q23">
        <v>7.5943152449999998</v>
      </c>
    </row>
    <row r="24" spans="1:17" x14ac:dyDescent="0.25">
      <c r="A24" s="1" t="s">
        <v>17</v>
      </c>
      <c r="B24" s="2">
        <v>43700</v>
      </c>
      <c r="C24">
        <v>0</v>
      </c>
      <c r="D24">
        <v>2496</v>
      </c>
      <c r="E24">
        <v>129880</v>
      </c>
      <c r="F24">
        <v>109413</v>
      </c>
      <c r="G24">
        <v>4410</v>
      </c>
      <c r="H24">
        <v>2896</v>
      </c>
      <c r="I24">
        <v>2496</v>
      </c>
      <c r="J24">
        <v>1913</v>
      </c>
      <c r="K24">
        <v>766</v>
      </c>
      <c r="L24">
        <v>3.3954419E-2</v>
      </c>
      <c r="M24">
        <v>0.56598639500000003</v>
      </c>
      <c r="N24">
        <v>0.76642628199999996</v>
      </c>
      <c r="O24">
        <v>0.173696145</v>
      </c>
      <c r="P24">
        <v>5.897752E-3</v>
      </c>
      <c r="Q24">
        <v>3.25848564</v>
      </c>
    </row>
    <row r="25" spans="1:17" x14ac:dyDescent="0.25">
      <c r="A25" s="1" t="s">
        <v>17</v>
      </c>
      <c r="B25" s="2">
        <v>43701</v>
      </c>
      <c r="C25">
        <v>0</v>
      </c>
      <c r="D25">
        <v>1892</v>
      </c>
      <c r="E25">
        <v>72515</v>
      </c>
      <c r="F25">
        <v>51987</v>
      </c>
      <c r="G25">
        <v>4085</v>
      </c>
      <c r="H25">
        <v>1274</v>
      </c>
      <c r="I25">
        <v>1149</v>
      </c>
      <c r="J25">
        <v>1146</v>
      </c>
      <c r="K25">
        <v>585</v>
      </c>
      <c r="L25">
        <v>5.6333172000000001E-2</v>
      </c>
      <c r="M25">
        <v>0.28127295000000002</v>
      </c>
      <c r="N25">
        <v>0.99738903400000001</v>
      </c>
      <c r="O25">
        <v>0.14320685399999999</v>
      </c>
      <c r="P25">
        <v>8.0672959999999998E-3</v>
      </c>
      <c r="Q25">
        <v>3.2341880340000002</v>
      </c>
    </row>
    <row r="26" spans="1:17" x14ac:dyDescent="0.25">
      <c r="A26" s="1" t="s">
        <v>17</v>
      </c>
      <c r="B26" s="2">
        <v>43702</v>
      </c>
      <c r="C26">
        <v>0</v>
      </c>
      <c r="D26">
        <v>1962</v>
      </c>
      <c r="E26">
        <v>117006</v>
      </c>
      <c r="F26">
        <v>100398</v>
      </c>
      <c r="G26">
        <v>4234</v>
      </c>
      <c r="H26">
        <v>2423</v>
      </c>
      <c r="I26">
        <v>2096</v>
      </c>
      <c r="J26">
        <v>883</v>
      </c>
      <c r="K26">
        <v>386</v>
      </c>
      <c r="L26">
        <v>3.6186177999999999E-2</v>
      </c>
      <c r="M26">
        <v>0.49504015099999998</v>
      </c>
      <c r="N26">
        <v>0.42127862599999999</v>
      </c>
      <c r="O26">
        <v>9.1166744999999993E-2</v>
      </c>
      <c r="P26">
        <v>3.2989759999999999E-3</v>
      </c>
      <c r="Q26">
        <v>5.0829015540000002</v>
      </c>
    </row>
    <row r="27" spans="1:17" x14ac:dyDescent="0.25">
      <c r="A27" s="1" t="s">
        <v>17</v>
      </c>
      <c r="B27" s="2">
        <v>43703</v>
      </c>
      <c r="C27">
        <v>0</v>
      </c>
      <c r="D27">
        <v>2233</v>
      </c>
      <c r="E27">
        <v>124897</v>
      </c>
      <c r="F27">
        <v>98432</v>
      </c>
      <c r="G27">
        <v>5435</v>
      </c>
      <c r="H27">
        <v>2847</v>
      </c>
      <c r="I27">
        <v>2421</v>
      </c>
      <c r="J27">
        <v>1448</v>
      </c>
      <c r="K27">
        <v>251</v>
      </c>
      <c r="L27">
        <v>4.3515856999999998E-2</v>
      </c>
      <c r="M27">
        <v>0.44544618200000002</v>
      </c>
      <c r="N27">
        <v>0.59809995900000001</v>
      </c>
      <c r="O27">
        <v>4.6182152999999997E-2</v>
      </c>
      <c r="P27">
        <v>2.0096559999999999E-3</v>
      </c>
      <c r="Q27">
        <v>8.896414343</v>
      </c>
    </row>
    <row r="28" spans="1:17" x14ac:dyDescent="0.25">
      <c r="A28" s="1" t="s">
        <v>17</v>
      </c>
      <c r="B28" s="2">
        <v>43704</v>
      </c>
      <c r="C28">
        <v>0</v>
      </c>
      <c r="D28">
        <v>2061</v>
      </c>
      <c r="E28">
        <v>104678</v>
      </c>
      <c r="F28">
        <v>91579</v>
      </c>
      <c r="G28">
        <v>4941</v>
      </c>
      <c r="H28">
        <v>3549</v>
      </c>
      <c r="I28">
        <v>3249</v>
      </c>
      <c r="J28">
        <v>980</v>
      </c>
      <c r="K28">
        <v>605</v>
      </c>
      <c r="L28">
        <v>4.7201895000000001E-2</v>
      </c>
      <c r="M28">
        <v>0.65755919900000004</v>
      </c>
      <c r="N28">
        <v>0.30163127099999998</v>
      </c>
      <c r="O28">
        <v>0.12244484899999999</v>
      </c>
      <c r="P28">
        <v>5.7796289999999997E-3</v>
      </c>
      <c r="Q28">
        <v>3.4066115699999999</v>
      </c>
    </row>
    <row r="29" spans="1:17" x14ac:dyDescent="0.25">
      <c r="A29" s="1" t="s">
        <v>17</v>
      </c>
      <c r="B29" s="2">
        <v>43705</v>
      </c>
      <c r="C29">
        <v>0</v>
      </c>
      <c r="D29">
        <v>2421</v>
      </c>
      <c r="E29">
        <v>141654</v>
      </c>
      <c r="F29">
        <v>125874</v>
      </c>
      <c r="G29">
        <v>6287</v>
      </c>
      <c r="H29">
        <v>1672</v>
      </c>
      <c r="I29">
        <v>1589</v>
      </c>
      <c r="J29">
        <v>1711</v>
      </c>
      <c r="K29">
        <v>643</v>
      </c>
      <c r="L29">
        <v>4.4382791999999997E-2</v>
      </c>
      <c r="M29">
        <v>0.25274375700000001</v>
      </c>
      <c r="N29">
        <v>1.0767778480000001</v>
      </c>
      <c r="O29">
        <v>0.102274535</v>
      </c>
      <c r="P29">
        <v>4.5392289999999997E-3</v>
      </c>
      <c r="Q29">
        <v>3.765163297</v>
      </c>
    </row>
    <row r="30" spans="1:17" x14ac:dyDescent="0.25">
      <c r="A30" s="1" t="s">
        <v>17</v>
      </c>
      <c r="B30" s="2">
        <v>43706</v>
      </c>
      <c r="C30">
        <v>0</v>
      </c>
      <c r="D30">
        <v>2375</v>
      </c>
      <c r="E30">
        <v>92029</v>
      </c>
      <c r="F30">
        <v>74192</v>
      </c>
      <c r="G30">
        <v>8127</v>
      </c>
      <c r="H30">
        <v>4891</v>
      </c>
      <c r="I30">
        <v>4219</v>
      </c>
      <c r="J30">
        <v>1486</v>
      </c>
      <c r="K30">
        <v>334</v>
      </c>
      <c r="L30">
        <v>8.8309120000000005E-2</v>
      </c>
      <c r="M30">
        <v>0.519133752</v>
      </c>
      <c r="N30">
        <v>0.35221616500000003</v>
      </c>
      <c r="O30">
        <v>4.1097575999999997E-2</v>
      </c>
      <c r="P30">
        <v>3.6292910000000002E-3</v>
      </c>
      <c r="Q30">
        <v>7.1107784430000001</v>
      </c>
    </row>
    <row r="31" spans="1:17" x14ac:dyDescent="0.25">
      <c r="A31" s="1" t="s">
        <v>17</v>
      </c>
      <c r="B31" s="2">
        <v>43707</v>
      </c>
      <c r="C31">
        <v>0</v>
      </c>
      <c r="D31">
        <v>2324</v>
      </c>
      <c r="E31">
        <v>111306</v>
      </c>
      <c r="F31">
        <v>88632</v>
      </c>
      <c r="G31">
        <v>4658</v>
      </c>
      <c r="H31">
        <v>1615</v>
      </c>
      <c r="I31">
        <v>1249</v>
      </c>
      <c r="J31">
        <v>442</v>
      </c>
      <c r="K31">
        <v>670</v>
      </c>
      <c r="L31">
        <v>4.1848598000000001E-2</v>
      </c>
      <c r="M31">
        <v>0.26814083300000002</v>
      </c>
      <c r="N31">
        <v>0.353883106</v>
      </c>
      <c r="O31">
        <v>0.14383855700000001</v>
      </c>
      <c r="P31">
        <v>6.0194419999999998E-3</v>
      </c>
      <c r="Q31">
        <v>3.4686567159999999</v>
      </c>
    </row>
    <row r="32" spans="1:17" x14ac:dyDescent="0.25">
      <c r="A32" s="1" t="s">
        <v>18</v>
      </c>
      <c r="B32" s="2">
        <v>43678</v>
      </c>
      <c r="C32">
        <v>1</v>
      </c>
      <c r="D32">
        <v>3008</v>
      </c>
      <c r="E32">
        <v>39550</v>
      </c>
      <c r="F32">
        <v>35820</v>
      </c>
      <c r="G32">
        <v>3038</v>
      </c>
      <c r="H32">
        <v>1946</v>
      </c>
      <c r="I32">
        <v>1069</v>
      </c>
      <c r="J32">
        <v>894</v>
      </c>
      <c r="K32">
        <v>255</v>
      </c>
      <c r="L32">
        <v>7.6814159000000007E-2</v>
      </c>
      <c r="M32">
        <v>0.35187623400000001</v>
      </c>
      <c r="N32">
        <v>0.83629560300000005</v>
      </c>
      <c r="O32">
        <v>8.3936801000000005E-2</v>
      </c>
      <c r="P32">
        <v>6.4475349999999999E-3</v>
      </c>
      <c r="Q32">
        <v>11.79607843</v>
      </c>
    </row>
    <row r="33" spans="1:17" x14ac:dyDescent="0.25">
      <c r="A33" s="1" t="s">
        <v>18</v>
      </c>
      <c r="B33" s="2">
        <v>43679</v>
      </c>
      <c r="C33">
        <v>1</v>
      </c>
      <c r="D33">
        <v>2542</v>
      </c>
      <c r="E33">
        <v>100719</v>
      </c>
      <c r="F33">
        <v>91236</v>
      </c>
      <c r="G33">
        <v>4657</v>
      </c>
      <c r="H33">
        <v>2359</v>
      </c>
      <c r="I33">
        <v>1548</v>
      </c>
      <c r="J33">
        <v>879</v>
      </c>
      <c r="K33">
        <v>677</v>
      </c>
      <c r="L33">
        <v>4.6237552000000001E-2</v>
      </c>
      <c r="M33">
        <v>0.33240283399999998</v>
      </c>
      <c r="N33">
        <v>0.56782945699999998</v>
      </c>
      <c r="O33">
        <v>0.14537255700000001</v>
      </c>
      <c r="P33">
        <v>6.7216710000000002E-3</v>
      </c>
      <c r="Q33">
        <v>3.754800591</v>
      </c>
    </row>
    <row r="34" spans="1:17" x14ac:dyDescent="0.25">
      <c r="A34" s="1" t="s">
        <v>18</v>
      </c>
      <c r="B34" s="2">
        <v>43680</v>
      </c>
      <c r="C34">
        <v>1</v>
      </c>
      <c r="D34">
        <v>2365</v>
      </c>
      <c r="E34">
        <v>70263</v>
      </c>
      <c r="F34">
        <v>45198</v>
      </c>
      <c r="G34">
        <v>7885</v>
      </c>
      <c r="H34">
        <v>2572</v>
      </c>
      <c r="I34">
        <v>2367</v>
      </c>
      <c r="J34">
        <v>1268</v>
      </c>
      <c r="K34">
        <v>578</v>
      </c>
      <c r="L34">
        <v>0.11222122599999999</v>
      </c>
      <c r="M34">
        <v>0.30019023500000003</v>
      </c>
      <c r="N34">
        <v>0.53569919700000002</v>
      </c>
      <c r="O34">
        <v>7.3303741000000006E-2</v>
      </c>
      <c r="P34">
        <v>8.2262359999999996E-3</v>
      </c>
      <c r="Q34">
        <v>4.0916955020000003</v>
      </c>
    </row>
    <row r="35" spans="1:17" x14ac:dyDescent="0.25">
      <c r="A35" s="1" t="s">
        <v>18</v>
      </c>
      <c r="B35" s="2">
        <v>43681</v>
      </c>
      <c r="C35">
        <v>1</v>
      </c>
      <c r="D35">
        <v>2710</v>
      </c>
      <c r="E35">
        <v>78451</v>
      </c>
      <c r="F35">
        <v>25937</v>
      </c>
      <c r="G35">
        <v>4216</v>
      </c>
      <c r="H35">
        <v>2216</v>
      </c>
      <c r="I35">
        <v>1437</v>
      </c>
      <c r="J35">
        <v>566</v>
      </c>
      <c r="K35">
        <v>340</v>
      </c>
      <c r="L35">
        <v>5.3740550999999998E-2</v>
      </c>
      <c r="M35">
        <v>0.34084440199999999</v>
      </c>
      <c r="N35">
        <v>0.39387613100000002</v>
      </c>
      <c r="O35">
        <v>8.0645161000000007E-2</v>
      </c>
      <c r="P35">
        <v>4.3339149999999998E-3</v>
      </c>
      <c r="Q35">
        <v>7.9705882350000001</v>
      </c>
    </row>
    <row r="36" spans="1:17" x14ac:dyDescent="0.25">
      <c r="A36" s="1" t="s">
        <v>18</v>
      </c>
      <c r="B36" s="2">
        <v>43682</v>
      </c>
      <c r="C36">
        <v>1</v>
      </c>
      <c r="D36">
        <v>2297</v>
      </c>
      <c r="E36">
        <v>114295</v>
      </c>
      <c r="F36">
        <v>95138</v>
      </c>
      <c r="G36">
        <v>5863</v>
      </c>
      <c r="H36">
        <v>2106</v>
      </c>
      <c r="I36">
        <v>858</v>
      </c>
      <c r="J36">
        <v>956</v>
      </c>
      <c r="K36">
        <v>768</v>
      </c>
      <c r="L36">
        <v>5.1297082000000001E-2</v>
      </c>
      <c r="M36">
        <v>0.146341463</v>
      </c>
      <c r="N36">
        <v>1.114219114</v>
      </c>
      <c r="O36">
        <v>0.13099095999999999</v>
      </c>
      <c r="P36">
        <v>6.7194539999999997E-3</v>
      </c>
      <c r="Q36">
        <v>2.9908854169999999</v>
      </c>
    </row>
    <row r="37" spans="1:17" x14ac:dyDescent="0.25">
      <c r="A37" s="1" t="s">
        <v>18</v>
      </c>
      <c r="B37" s="2">
        <v>43683</v>
      </c>
      <c r="C37">
        <v>1</v>
      </c>
      <c r="D37">
        <v>2458</v>
      </c>
      <c r="E37">
        <v>42684</v>
      </c>
      <c r="F37">
        <v>31489</v>
      </c>
      <c r="G37">
        <v>7488</v>
      </c>
      <c r="H37">
        <v>1854</v>
      </c>
      <c r="I37">
        <v>1073</v>
      </c>
      <c r="J37">
        <v>882</v>
      </c>
      <c r="K37">
        <v>488</v>
      </c>
      <c r="L37">
        <v>0.175428732</v>
      </c>
      <c r="M37">
        <v>0.14329594000000001</v>
      </c>
      <c r="N37">
        <v>0.82199440800000001</v>
      </c>
      <c r="O37">
        <v>6.5170939999999997E-2</v>
      </c>
      <c r="P37">
        <v>1.1432855E-2</v>
      </c>
      <c r="Q37">
        <v>5.0368852459999998</v>
      </c>
    </row>
    <row r="38" spans="1:17" x14ac:dyDescent="0.25">
      <c r="A38" s="1" t="s">
        <v>18</v>
      </c>
      <c r="B38" s="2">
        <v>43684</v>
      </c>
      <c r="C38">
        <v>1</v>
      </c>
      <c r="D38">
        <v>2838</v>
      </c>
      <c r="E38">
        <v>53986</v>
      </c>
      <c r="F38">
        <v>42148</v>
      </c>
      <c r="G38">
        <v>4221</v>
      </c>
      <c r="H38">
        <v>2733</v>
      </c>
      <c r="I38">
        <v>2182</v>
      </c>
      <c r="J38">
        <v>1301</v>
      </c>
      <c r="K38">
        <v>890</v>
      </c>
      <c r="L38">
        <v>7.8186936999999998E-2</v>
      </c>
      <c r="M38">
        <v>0.51693911400000003</v>
      </c>
      <c r="N38">
        <v>0.59624197999999995</v>
      </c>
      <c r="O38">
        <v>0.21085050899999999</v>
      </c>
      <c r="P38">
        <v>1.6485756000000001E-2</v>
      </c>
      <c r="Q38">
        <v>3.1887640450000001</v>
      </c>
    </row>
    <row r="39" spans="1:17" x14ac:dyDescent="0.25">
      <c r="A39" s="1" t="s">
        <v>18</v>
      </c>
      <c r="B39" s="2">
        <v>43685</v>
      </c>
      <c r="C39">
        <v>1</v>
      </c>
      <c r="D39">
        <v>2916</v>
      </c>
      <c r="E39">
        <v>33669</v>
      </c>
      <c r="F39">
        <v>20149</v>
      </c>
      <c r="G39">
        <v>7184</v>
      </c>
      <c r="H39">
        <v>2867</v>
      </c>
      <c r="I39">
        <v>2194</v>
      </c>
      <c r="J39">
        <v>1240</v>
      </c>
      <c r="K39">
        <v>431</v>
      </c>
      <c r="L39">
        <v>0.21337135099999999</v>
      </c>
      <c r="M39">
        <v>0.30540089100000001</v>
      </c>
      <c r="N39">
        <v>0.56517775800000003</v>
      </c>
      <c r="O39">
        <v>5.9994432E-2</v>
      </c>
      <c r="P39">
        <v>1.2801092999999999E-2</v>
      </c>
      <c r="Q39">
        <v>6.7656612530000002</v>
      </c>
    </row>
    <row r="40" spans="1:17" x14ac:dyDescent="0.25">
      <c r="A40" s="1" t="s">
        <v>18</v>
      </c>
      <c r="B40" s="2">
        <v>43686</v>
      </c>
      <c r="C40">
        <v>1</v>
      </c>
      <c r="D40">
        <v>2652</v>
      </c>
      <c r="E40">
        <v>45511</v>
      </c>
      <c r="F40">
        <v>31598</v>
      </c>
      <c r="G40">
        <v>8259</v>
      </c>
      <c r="H40">
        <v>2899</v>
      </c>
      <c r="I40">
        <v>2761</v>
      </c>
      <c r="J40">
        <v>1200</v>
      </c>
      <c r="K40">
        <v>845</v>
      </c>
      <c r="L40">
        <v>0.18147261100000001</v>
      </c>
      <c r="M40">
        <v>0.334301974</v>
      </c>
      <c r="N40">
        <v>0.43462513600000002</v>
      </c>
      <c r="O40">
        <v>0.102312629</v>
      </c>
      <c r="P40">
        <v>1.8566940000000001E-2</v>
      </c>
      <c r="Q40">
        <v>3.1384615380000001</v>
      </c>
    </row>
    <row r="41" spans="1:17" x14ac:dyDescent="0.25">
      <c r="A41" s="1" t="s">
        <v>18</v>
      </c>
      <c r="B41" s="2">
        <v>43687</v>
      </c>
      <c r="C41">
        <v>1</v>
      </c>
      <c r="D41">
        <v>2790</v>
      </c>
      <c r="E41">
        <v>95054</v>
      </c>
      <c r="F41">
        <v>79632</v>
      </c>
      <c r="G41">
        <v>8125</v>
      </c>
      <c r="H41">
        <v>2312</v>
      </c>
      <c r="I41">
        <v>1804</v>
      </c>
      <c r="J41">
        <v>424</v>
      </c>
      <c r="K41">
        <v>275</v>
      </c>
      <c r="L41">
        <v>8.5477728000000003E-2</v>
      </c>
      <c r="M41">
        <v>0.22203076899999999</v>
      </c>
      <c r="N41">
        <v>0.23503325899999999</v>
      </c>
      <c r="O41">
        <v>3.3846154000000003E-2</v>
      </c>
      <c r="P41">
        <v>2.8930919999999999E-3</v>
      </c>
      <c r="Q41">
        <v>10.14545455</v>
      </c>
    </row>
    <row r="42" spans="1:17" x14ac:dyDescent="0.25">
      <c r="A42" s="1" t="s">
        <v>18</v>
      </c>
      <c r="B42" s="2">
        <v>43688</v>
      </c>
      <c r="C42">
        <v>1</v>
      </c>
      <c r="D42">
        <v>2420</v>
      </c>
      <c r="E42">
        <v>83633</v>
      </c>
      <c r="F42">
        <v>71286</v>
      </c>
      <c r="G42">
        <v>3750</v>
      </c>
      <c r="H42">
        <v>2893</v>
      </c>
      <c r="I42">
        <v>2617</v>
      </c>
      <c r="J42">
        <v>1075</v>
      </c>
      <c r="K42">
        <v>668</v>
      </c>
      <c r="L42">
        <v>4.4838759999999998E-2</v>
      </c>
      <c r="M42">
        <v>0.697866667</v>
      </c>
      <c r="N42">
        <v>0.410775697</v>
      </c>
      <c r="O42">
        <v>0.178133333</v>
      </c>
      <c r="P42">
        <v>7.9872780000000004E-3</v>
      </c>
      <c r="Q42">
        <v>3.6227544909999998</v>
      </c>
    </row>
    <row r="43" spans="1:17" x14ac:dyDescent="0.25">
      <c r="A43" s="1" t="s">
        <v>18</v>
      </c>
      <c r="B43" s="2">
        <v>43689</v>
      </c>
      <c r="C43">
        <v>1</v>
      </c>
      <c r="D43">
        <v>2831</v>
      </c>
      <c r="E43">
        <v>124591</v>
      </c>
      <c r="F43">
        <v>10598</v>
      </c>
      <c r="G43">
        <v>8264</v>
      </c>
      <c r="H43">
        <v>2081</v>
      </c>
      <c r="I43">
        <v>1992</v>
      </c>
      <c r="J43">
        <v>1382</v>
      </c>
      <c r="K43">
        <v>709</v>
      </c>
      <c r="L43">
        <v>6.6329028999999998E-2</v>
      </c>
      <c r="M43">
        <v>0.241045499</v>
      </c>
      <c r="N43">
        <v>0.69377509999999998</v>
      </c>
      <c r="O43">
        <v>8.5793804000000001E-2</v>
      </c>
      <c r="P43">
        <v>5.6906200000000004E-3</v>
      </c>
      <c r="Q43">
        <v>3.9929478139999999</v>
      </c>
    </row>
    <row r="44" spans="1:17" x14ac:dyDescent="0.25">
      <c r="A44" s="1" t="s">
        <v>18</v>
      </c>
      <c r="B44" s="2">
        <v>43690</v>
      </c>
      <c r="C44">
        <v>1</v>
      </c>
      <c r="D44">
        <v>1972</v>
      </c>
      <c r="E44">
        <v>65827</v>
      </c>
      <c r="F44">
        <v>49531</v>
      </c>
      <c r="G44">
        <v>7568</v>
      </c>
      <c r="H44">
        <v>2213</v>
      </c>
      <c r="I44">
        <v>2058</v>
      </c>
      <c r="J44">
        <v>1391</v>
      </c>
      <c r="K44">
        <v>812</v>
      </c>
      <c r="L44">
        <v>0.114968022</v>
      </c>
      <c r="M44">
        <v>0.27193446100000002</v>
      </c>
      <c r="N44">
        <v>0.67589893099999998</v>
      </c>
      <c r="O44">
        <v>0.107293869</v>
      </c>
      <c r="P44">
        <v>1.2335364E-2</v>
      </c>
      <c r="Q44">
        <v>2.4285714289999998</v>
      </c>
    </row>
    <row r="45" spans="1:17" x14ac:dyDescent="0.25">
      <c r="A45" s="1" t="s">
        <v>18</v>
      </c>
      <c r="B45" s="2">
        <v>43691</v>
      </c>
      <c r="C45">
        <v>1</v>
      </c>
      <c r="D45">
        <v>2537</v>
      </c>
      <c r="E45">
        <v>56304</v>
      </c>
      <c r="F45">
        <v>25982</v>
      </c>
      <c r="G45">
        <v>3993</v>
      </c>
      <c r="H45">
        <v>1979</v>
      </c>
      <c r="I45">
        <v>1059</v>
      </c>
      <c r="J45">
        <v>779</v>
      </c>
      <c r="K45">
        <v>340</v>
      </c>
      <c r="L45">
        <v>7.0918585000000006E-2</v>
      </c>
      <c r="M45">
        <v>0.26521412500000002</v>
      </c>
      <c r="N45">
        <v>0.73559962199999995</v>
      </c>
      <c r="O45">
        <v>8.5149010999999997E-2</v>
      </c>
      <c r="P45">
        <v>6.0386470000000003E-3</v>
      </c>
      <c r="Q45">
        <v>7.4617647060000003</v>
      </c>
    </row>
    <row r="46" spans="1:17" x14ac:dyDescent="0.25">
      <c r="A46" s="1" t="s">
        <v>18</v>
      </c>
      <c r="B46" s="2">
        <v>43692</v>
      </c>
      <c r="C46">
        <v>1</v>
      </c>
      <c r="D46">
        <v>2516</v>
      </c>
      <c r="E46">
        <v>94338</v>
      </c>
      <c r="F46">
        <v>76219</v>
      </c>
      <c r="G46">
        <v>4993</v>
      </c>
      <c r="H46">
        <v>2537</v>
      </c>
      <c r="I46">
        <v>1609</v>
      </c>
      <c r="J46">
        <v>1090</v>
      </c>
      <c r="K46">
        <v>398</v>
      </c>
      <c r="L46">
        <v>5.2926710000000002E-2</v>
      </c>
      <c r="M46">
        <v>0.32225115199999999</v>
      </c>
      <c r="N46">
        <v>0.67743940300000005</v>
      </c>
      <c r="O46">
        <v>7.9711595999999996E-2</v>
      </c>
      <c r="P46">
        <v>4.2188729999999997E-3</v>
      </c>
      <c r="Q46">
        <v>6.3216080400000001</v>
      </c>
    </row>
    <row r="47" spans="1:17" x14ac:dyDescent="0.25">
      <c r="A47" s="1" t="s">
        <v>18</v>
      </c>
      <c r="B47" s="2">
        <v>43693</v>
      </c>
      <c r="C47">
        <v>1</v>
      </c>
      <c r="D47">
        <v>3076</v>
      </c>
      <c r="E47">
        <v>106584</v>
      </c>
      <c r="F47">
        <v>81389</v>
      </c>
      <c r="G47">
        <v>6800</v>
      </c>
      <c r="H47">
        <v>2661</v>
      </c>
      <c r="I47">
        <v>2594</v>
      </c>
      <c r="J47">
        <v>1059</v>
      </c>
      <c r="K47">
        <v>487</v>
      </c>
      <c r="L47">
        <v>6.3799444999999996E-2</v>
      </c>
      <c r="M47">
        <v>0.381470588</v>
      </c>
      <c r="N47">
        <v>0.40824980700000002</v>
      </c>
      <c r="O47">
        <v>7.1617647000000006E-2</v>
      </c>
      <c r="P47">
        <v>4.5691660000000004E-3</v>
      </c>
      <c r="Q47">
        <v>6.316221766</v>
      </c>
    </row>
    <row r="48" spans="1:17" x14ac:dyDescent="0.25">
      <c r="A48" s="1" t="s">
        <v>18</v>
      </c>
      <c r="B48" s="2">
        <v>43694</v>
      </c>
      <c r="C48">
        <v>1</v>
      </c>
      <c r="D48">
        <v>1968</v>
      </c>
      <c r="E48">
        <v>95843</v>
      </c>
      <c r="F48">
        <v>54389</v>
      </c>
      <c r="G48">
        <v>7910</v>
      </c>
      <c r="H48">
        <v>1995</v>
      </c>
      <c r="I48">
        <v>1576</v>
      </c>
      <c r="J48">
        <v>383</v>
      </c>
      <c r="K48">
        <v>238</v>
      </c>
      <c r="L48">
        <v>8.2530805999999998E-2</v>
      </c>
      <c r="M48">
        <v>0.19924146600000001</v>
      </c>
      <c r="N48">
        <v>0.24302030499999999</v>
      </c>
      <c r="O48">
        <v>3.0088495999999999E-2</v>
      </c>
      <c r="P48">
        <v>2.4832280000000001E-3</v>
      </c>
      <c r="Q48">
        <v>8.2689075630000008</v>
      </c>
    </row>
    <row r="49" spans="1:17" x14ac:dyDescent="0.25">
      <c r="A49" s="1" t="s">
        <v>18</v>
      </c>
      <c r="B49" s="2">
        <v>43695</v>
      </c>
      <c r="C49">
        <v>1</v>
      </c>
      <c r="D49">
        <v>1979</v>
      </c>
      <c r="E49">
        <v>53632</v>
      </c>
      <c r="F49">
        <v>43241</v>
      </c>
      <c r="G49">
        <v>6909</v>
      </c>
      <c r="H49">
        <v>2824</v>
      </c>
      <c r="I49">
        <v>2522</v>
      </c>
      <c r="J49">
        <v>461</v>
      </c>
      <c r="K49">
        <v>257</v>
      </c>
      <c r="L49">
        <v>0.128822345</v>
      </c>
      <c r="M49">
        <v>0.36503111900000001</v>
      </c>
      <c r="N49">
        <v>0.182791435</v>
      </c>
      <c r="O49">
        <v>3.7197858E-2</v>
      </c>
      <c r="P49">
        <v>4.7919149999999999E-3</v>
      </c>
      <c r="Q49">
        <v>7.7003891050000002</v>
      </c>
    </row>
    <row r="50" spans="1:17" x14ac:dyDescent="0.25">
      <c r="A50" s="1" t="s">
        <v>18</v>
      </c>
      <c r="B50" s="2">
        <v>43696</v>
      </c>
      <c r="C50">
        <v>1</v>
      </c>
      <c r="D50">
        <v>2626</v>
      </c>
      <c r="E50">
        <v>22521</v>
      </c>
      <c r="F50">
        <v>10698</v>
      </c>
      <c r="G50">
        <v>7617</v>
      </c>
      <c r="H50">
        <v>2924</v>
      </c>
      <c r="I50">
        <v>2801</v>
      </c>
      <c r="J50">
        <v>788</v>
      </c>
      <c r="K50">
        <v>512</v>
      </c>
      <c r="L50">
        <v>0.33821766399999997</v>
      </c>
      <c r="M50">
        <v>0.36773007699999999</v>
      </c>
      <c r="N50">
        <v>0.281328097</v>
      </c>
      <c r="O50">
        <v>6.7218064999999994E-2</v>
      </c>
      <c r="P50">
        <v>2.2734337E-2</v>
      </c>
      <c r="Q50">
        <v>5.12890625</v>
      </c>
    </row>
    <row r="51" spans="1:17" x14ac:dyDescent="0.25">
      <c r="A51" s="1" t="s">
        <v>18</v>
      </c>
      <c r="B51" s="2">
        <v>43697</v>
      </c>
      <c r="C51">
        <v>1</v>
      </c>
      <c r="D51">
        <v>2712</v>
      </c>
      <c r="E51">
        <v>39470</v>
      </c>
      <c r="F51">
        <v>31893</v>
      </c>
      <c r="G51">
        <v>6050</v>
      </c>
      <c r="H51">
        <v>2061</v>
      </c>
      <c r="I51">
        <v>1894</v>
      </c>
      <c r="J51">
        <v>1047</v>
      </c>
      <c r="K51">
        <v>730</v>
      </c>
      <c r="L51">
        <v>0.15328097299999999</v>
      </c>
      <c r="M51">
        <v>0.313057851</v>
      </c>
      <c r="N51">
        <v>0.55279831000000001</v>
      </c>
      <c r="O51">
        <v>0.120661157</v>
      </c>
      <c r="P51">
        <v>1.8495060000000001E-2</v>
      </c>
      <c r="Q51">
        <v>3.715068493</v>
      </c>
    </row>
    <row r="52" spans="1:17" x14ac:dyDescent="0.25">
      <c r="A52" s="1" t="s">
        <v>18</v>
      </c>
      <c r="B52" s="2">
        <v>43698</v>
      </c>
      <c r="C52">
        <v>1</v>
      </c>
      <c r="D52">
        <v>3112</v>
      </c>
      <c r="E52">
        <v>133771</v>
      </c>
      <c r="F52">
        <v>109834</v>
      </c>
      <c r="G52">
        <v>5471</v>
      </c>
      <c r="H52">
        <v>1995</v>
      </c>
      <c r="I52">
        <v>1868</v>
      </c>
      <c r="J52">
        <v>278</v>
      </c>
      <c r="K52">
        <v>245</v>
      </c>
      <c r="L52">
        <v>4.0898250999999997E-2</v>
      </c>
      <c r="M52">
        <v>0.341436666</v>
      </c>
      <c r="N52">
        <v>0.14882227000000001</v>
      </c>
      <c r="O52">
        <v>4.4781575999999997E-2</v>
      </c>
      <c r="P52">
        <v>1.831488E-3</v>
      </c>
      <c r="Q52">
        <v>12.702040820000001</v>
      </c>
    </row>
    <row r="53" spans="1:17" x14ac:dyDescent="0.25">
      <c r="A53" s="1" t="s">
        <v>18</v>
      </c>
      <c r="B53" s="2">
        <v>43699</v>
      </c>
      <c r="C53">
        <v>1</v>
      </c>
      <c r="D53">
        <v>2899</v>
      </c>
      <c r="E53">
        <v>34752</v>
      </c>
      <c r="F53">
        <v>27932</v>
      </c>
      <c r="G53">
        <v>4431</v>
      </c>
      <c r="H53">
        <v>1983</v>
      </c>
      <c r="I53">
        <v>1131</v>
      </c>
      <c r="J53">
        <v>367</v>
      </c>
      <c r="K53">
        <v>276</v>
      </c>
      <c r="L53">
        <v>0.12750345299999999</v>
      </c>
      <c r="M53">
        <v>0.25524712300000002</v>
      </c>
      <c r="N53">
        <v>0.32449159999999999</v>
      </c>
      <c r="O53">
        <v>6.2288422000000003E-2</v>
      </c>
      <c r="P53">
        <v>7.941989E-3</v>
      </c>
      <c r="Q53">
        <v>10.503623190000001</v>
      </c>
    </row>
    <row r="54" spans="1:17" x14ac:dyDescent="0.25">
      <c r="A54" s="1" t="s">
        <v>18</v>
      </c>
      <c r="B54" s="2">
        <v>43700</v>
      </c>
      <c r="C54">
        <v>1</v>
      </c>
      <c r="D54">
        <v>2407</v>
      </c>
      <c r="E54">
        <v>60286</v>
      </c>
      <c r="F54">
        <v>49329</v>
      </c>
      <c r="G54">
        <v>5077</v>
      </c>
      <c r="H54">
        <v>2592</v>
      </c>
      <c r="I54">
        <v>2004</v>
      </c>
      <c r="J54">
        <v>632</v>
      </c>
      <c r="K54">
        <v>473</v>
      </c>
      <c r="L54">
        <v>8.4215240999999996E-2</v>
      </c>
      <c r="M54">
        <v>0.394721292</v>
      </c>
      <c r="N54">
        <v>0.31536926100000001</v>
      </c>
      <c r="O54">
        <v>9.3165255000000002E-2</v>
      </c>
      <c r="P54">
        <v>7.8459340000000006E-3</v>
      </c>
      <c r="Q54">
        <v>5.0887949260000003</v>
      </c>
    </row>
    <row r="55" spans="1:17" x14ac:dyDescent="0.25">
      <c r="A55" s="1" t="s">
        <v>18</v>
      </c>
      <c r="B55" s="2">
        <v>43701</v>
      </c>
      <c r="C55">
        <v>1</v>
      </c>
      <c r="D55">
        <v>2078</v>
      </c>
      <c r="E55">
        <v>36650</v>
      </c>
      <c r="F55">
        <v>30489</v>
      </c>
      <c r="G55">
        <v>7156</v>
      </c>
      <c r="H55">
        <v>2687</v>
      </c>
      <c r="I55">
        <v>2427</v>
      </c>
      <c r="J55">
        <v>327</v>
      </c>
      <c r="K55">
        <v>269</v>
      </c>
      <c r="L55">
        <v>0.195252387</v>
      </c>
      <c r="M55">
        <v>0.33915595300000001</v>
      </c>
      <c r="N55">
        <v>0.13473424000000001</v>
      </c>
      <c r="O55">
        <v>3.7590832999999997E-2</v>
      </c>
      <c r="P55">
        <v>7.3397000000000002E-3</v>
      </c>
      <c r="Q55">
        <v>7.7249070629999999</v>
      </c>
    </row>
    <row r="56" spans="1:17" x14ac:dyDescent="0.25">
      <c r="A56" s="1" t="s">
        <v>18</v>
      </c>
      <c r="B56" s="2">
        <v>43702</v>
      </c>
      <c r="C56">
        <v>1</v>
      </c>
      <c r="D56">
        <v>2928</v>
      </c>
      <c r="E56">
        <v>120576</v>
      </c>
      <c r="F56">
        <v>105978</v>
      </c>
      <c r="G56">
        <v>3596</v>
      </c>
      <c r="H56">
        <v>2937</v>
      </c>
      <c r="I56">
        <v>2551</v>
      </c>
      <c r="J56">
        <v>1228</v>
      </c>
      <c r="K56">
        <v>651</v>
      </c>
      <c r="L56">
        <v>2.9823513999999999E-2</v>
      </c>
      <c r="M56">
        <v>0.70939933300000002</v>
      </c>
      <c r="N56">
        <v>0.48137985100000003</v>
      </c>
      <c r="O56">
        <v>0.181034483</v>
      </c>
      <c r="P56">
        <v>5.3990840000000002E-3</v>
      </c>
      <c r="Q56">
        <v>4.4976958529999997</v>
      </c>
    </row>
    <row r="57" spans="1:17" x14ac:dyDescent="0.25">
      <c r="A57" s="1" t="s">
        <v>18</v>
      </c>
      <c r="B57" s="2">
        <v>43703</v>
      </c>
      <c r="C57">
        <v>1</v>
      </c>
      <c r="D57">
        <v>2311</v>
      </c>
      <c r="E57">
        <v>80841</v>
      </c>
      <c r="F57">
        <v>61589</v>
      </c>
      <c r="G57">
        <v>3820</v>
      </c>
      <c r="H57">
        <v>2037</v>
      </c>
      <c r="I57">
        <v>1046</v>
      </c>
      <c r="J57">
        <v>346</v>
      </c>
      <c r="K57">
        <v>284</v>
      </c>
      <c r="L57">
        <v>4.7253249999999997E-2</v>
      </c>
      <c r="M57">
        <v>0.27382199000000002</v>
      </c>
      <c r="N57">
        <v>0.33078393900000003</v>
      </c>
      <c r="O57">
        <v>7.4345549999999996E-2</v>
      </c>
      <c r="P57">
        <v>3.5130690000000002E-3</v>
      </c>
      <c r="Q57">
        <v>8.1373239440000003</v>
      </c>
    </row>
    <row r="58" spans="1:17" x14ac:dyDescent="0.25">
      <c r="A58" s="1" t="s">
        <v>18</v>
      </c>
      <c r="B58" s="2">
        <v>43704</v>
      </c>
      <c r="C58">
        <v>1</v>
      </c>
      <c r="D58">
        <v>2915</v>
      </c>
      <c r="E58">
        <v>111469</v>
      </c>
      <c r="F58">
        <v>92159</v>
      </c>
      <c r="G58">
        <v>6435</v>
      </c>
      <c r="H58">
        <v>2976</v>
      </c>
      <c r="I58">
        <v>2552</v>
      </c>
      <c r="J58">
        <v>992</v>
      </c>
      <c r="K58">
        <v>771</v>
      </c>
      <c r="L58">
        <v>5.7729055000000001E-2</v>
      </c>
      <c r="M58">
        <v>0.396581197</v>
      </c>
      <c r="N58">
        <v>0.38871473400000001</v>
      </c>
      <c r="O58">
        <v>0.11981352000000001</v>
      </c>
      <c r="P58">
        <v>6.9167209999999998E-3</v>
      </c>
      <c r="Q58">
        <v>3.7808041499999998</v>
      </c>
    </row>
    <row r="59" spans="1:17" x14ac:dyDescent="0.25">
      <c r="A59" s="1" t="s">
        <v>18</v>
      </c>
      <c r="B59" s="2">
        <v>43705</v>
      </c>
      <c r="C59">
        <v>1</v>
      </c>
      <c r="D59">
        <v>2247</v>
      </c>
      <c r="E59">
        <v>54627</v>
      </c>
      <c r="F59">
        <v>41267</v>
      </c>
      <c r="G59">
        <v>8144</v>
      </c>
      <c r="H59">
        <v>2432</v>
      </c>
      <c r="I59">
        <v>1281</v>
      </c>
      <c r="J59">
        <v>1009</v>
      </c>
      <c r="K59">
        <v>721</v>
      </c>
      <c r="L59">
        <v>0.149083786</v>
      </c>
      <c r="M59">
        <v>0.157293713</v>
      </c>
      <c r="N59">
        <v>0.78766588599999998</v>
      </c>
      <c r="O59">
        <v>8.8531434000000006E-2</v>
      </c>
      <c r="P59">
        <v>1.3198601000000001E-2</v>
      </c>
      <c r="Q59">
        <v>3.116504854</v>
      </c>
    </row>
    <row r="60" spans="1:17" x14ac:dyDescent="0.25">
      <c r="A60" s="1" t="s">
        <v>18</v>
      </c>
      <c r="B60" s="2">
        <v>43706</v>
      </c>
      <c r="C60">
        <v>1</v>
      </c>
      <c r="D60">
        <v>2805</v>
      </c>
      <c r="E60">
        <v>67444</v>
      </c>
      <c r="F60">
        <v>43219</v>
      </c>
      <c r="G60">
        <v>7651</v>
      </c>
      <c r="H60">
        <v>1920</v>
      </c>
      <c r="I60">
        <v>1240</v>
      </c>
      <c r="J60">
        <v>1168</v>
      </c>
      <c r="K60">
        <v>677</v>
      </c>
      <c r="L60">
        <v>0.113442263</v>
      </c>
      <c r="M60">
        <v>0.16207031799999999</v>
      </c>
      <c r="N60">
        <v>0.94193548400000005</v>
      </c>
      <c r="O60">
        <v>8.8485165000000005E-2</v>
      </c>
      <c r="P60">
        <v>1.0037957E-2</v>
      </c>
      <c r="Q60">
        <v>4.1432791729999998</v>
      </c>
    </row>
    <row r="61" spans="1:17" x14ac:dyDescent="0.25">
      <c r="A61" s="1" t="s">
        <v>18</v>
      </c>
      <c r="B61" s="2">
        <v>43707</v>
      </c>
      <c r="C61">
        <v>1</v>
      </c>
      <c r="D61">
        <v>1977</v>
      </c>
      <c r="E61">
        <v>120203</v>
      </c>
      <c r="F61">
        <v>89380</v>
      </c>
      <c r="G61">
        <v>4399</v>
      </c>
      <c r="H61">
        <v>2978</v>
      </c>
      <c r="I61">
        <v>1625</v>
      </c>
      <c r="J61">
        <v>1034</v>
      </c>
      <c r="K61">
        <v>572</v>
      </c>
      <c r="L61">
        <v>3.6596424000000002E-2</v>
      </c>
      <c r="M61">
        <v>0.36940213700000002</v>
      </c>
      <c r="N61">
        <v>0.63630769200000004</v>
      </c>
      <c r="O61">
        <v>0.13002955199999999</v>
      </c>
      <c r="P61">
        <v>4.7586169999999997E-3</v>
      </c>
      <c r="Q61">
        <v>3.4562937059999999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1929-430F-432D-B328-994A5C4317C8}">
  <dimension ref="A1:J5"/>
  <sheetViews>
    <sheetView workbookViewId="0">
      <selection activeCell="I1" activeCellId="2" sqref="A1:A5 D1:E5 I1:J5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13.140625" bestFit="1" customWidth="1"/>
    <col min="4" max="4" width="15" bestFit="1" customWidth="1"/>
    <col min="5" max="5" width="14.140625" bestFit="1" customWidth="1"/>
    <col min="6" max="6" width="11.28515625" bestFit="1" customWidth="1"/>
    <col min="7" max="7" width="13.7109375" bestFit="1" customWidth="1"/>
    <col min="8" max="8" width="12.28515625" bestFit="1" customWidth="1"/>
    <col min="9" max="9" width="11.140625" bestFit="1" customWidth="1"/>
    <col min="10" max="10" width="11.42578125" bestFit="1" customWidth="1"/>
  </cols>
  <sheetData>
    <row r="1" spans="1:10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25">
      <c r="A2" s="1" t="s">
        <v>11</v>
      </c>
      <c r="B2">
        <v>5.0999999999999997E-2</v>
      </c>
      <c r="C2">
        <v>0.1024</v>
      </c>
      <c r="D2">
        <v>5.1499999999999997E-2</v>
      </c>
      <c r="E2">
        <v>1.0099</v>
      </c>
      <c r="F2">
        <v>2.9999999999999997E-4</v>
      </c>
      <c r="G2">
        <v>2.9999999999999997E-4</v>
      </c>
      <c r="H2">
        <v>1.0213000000000001</v>
      </c>
      <c r="I2">
        <v>3.1800000000000002E-2</v>
      </c>
      <c r="J2">
        <v>1.5199</v>
      </c>
    </row>
    <row r="3" spans="1:10" x14ac:dyDescent="0.25">
      <c r="A3" s="1" t="s">
        <v>14</v>
      </c>
      <c r="B3">
        <v>0.1148</v>
      </c>
      <c r="C3">
        <v>9.2299999999999993E-2</v>
      </c>
      <c r="D3">
        <v>-2.2499999999999999E-2</v>
      </c>
      <c r="E3">
        <v>-0.19570000000000001</v>
      </c>
      <c r="F3">
        <v>0.14280000000000001</v>
      </c>
      <c r="G3">
        <v>0.30609999999999998</v>
      </c>
      <c r="H3">
        <v>-0.39069999999999999</v>
      </c>
      <c r="I3">
        <v>-0.34749999999999998</v>
      </c>
      <c r="J3">
        <v>1.6500000000000001E-2</v>
      </c>
    </row>
    <row r="4" spans="1:10" x14ac:dyDescent="0.25">
      <c r="A4" s="1" t="s">
        <v>15</v>
      </c>
      <c r="B4">
        <v>5.0000000000000001E-3</v>
      </c>
      <c r="C4">
        <v>8.3999999999999995E-3</v>
      </c>
      <c r="D4">
        <v>3.3999999999999998E-3</v>
      </c>
      <c r="E4">
        <v>0.68479999999999996</v>
      </c>
      <c r="F4">
        <v>2E-3</v>
      </c>
      <c r="G4">
        <v>4.1000000000000003E-3</v>
      </c>
      <c r="H4">
        <v>0.85209999999999997</v>
      </c>
      <c r="I4">
        <v>1.9E-3</v>
      </c>
      <c r="J4">
        <v>1.1086</v>
      </c>
    </row>
    <row r="5" spans="1:10" x14ac:dyDescent="0.25">
      <c r="A5" s="1" t="s">
        <v>16</v>
      </c>
      <c r="B5">
        <v>5.0522999999999998</v>
      </c>
      <c r="C5">
        <v>5.8996000000000004</v>
      </c>
      <c r="D5">
        <v>0.84730000000000005</v>
      </c>
      <c r="E5">
        <v>0.16769999999999999</v>
      </c>
      <c r="F5">
        <v>0.1946</v>
      </c>
      <c r="G5">
        <v>0.2717</v>
      </c>
      <c r="H5">
        <v>0.34050000000000002</v>
      </c>
      <c r="I5">
        <v>-0.20080000000000001</v>
      </c>
      <c r="J5">
        <v>1.8682000000000001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436C-9087-4D4E-96DE-5B278595228A}">
  <dimension ref="A1:H54"/>
  <sheetViews>
    <sheetView workbookViewId="0">
      <selection activeCell="M47" sqref="M47"/>
    </sheetView>
  </sheetViews>
  <sheetFormatPr defaultRowHeight="15" x14ac:dyDescent="0.25"/>
  <sheetData>
    <row r="1" spans="1:3" ht="30" x14ac:dyDescent="0.25">
      <c r="A1" s="10" t="s">
        <v>29</v>
      </c>
    </row>
    <row r="14" spans="1:3" x14ac:dyDescent="0.25">
      <c r="A14" s="3" t="s">
        <v>19</v>
      </c>
      <c r="B14" s="4" t="s">
        <v>20</v>
      </c>
      <c r="C14" s="4" t="s">
        <v>21</v>
      </c>
    </row>
    <row r="15" spans="1:3" x14ac:dyDescent="0.25">
      <c r="A15" s="11" t="s">
        <v>11</v>
      </c>
      <c r="B15" s="5">
        <v>5.0999999999999997E-2</v>
      </c>
      <c r="C15" s="5">
        <v>0.1024</v>
      </c>
    </row>
    <row r="16" spans="1:3" x14ac:dyDescent="0.25">
      <c r="A16" s="12" t="s">
        <v>14</v>
      </c>
      <c r="B16" s="6">
        <v>0.1148</v>
      </c>
      <c r="C16" s="6">
        <v>9.2299999999999993E-2</v>
      </c>
    </row>
    <row r="17" spans="1:3" x14ac:dyDescent="0.25">
      <c r="A17" s="11" t="s">
        <v>15</v>
      </c>
      <c r="B17" s="5">
        <v>5.0000000000000001E-3</v>
      </c>
      <c r="C17" s="5">
        <v>8.3999999999999995E-3</v>
      </c>
    </row>
    <row r="18" spans="1:3" x14ac:dyDescent="0.25">
      <c r="A18" s="12" t="s">
        <v>16</v>
      </c>
      <c r="B18" s="6">
        <v>5.0522999999999998</v>
      </c>
      <c r="C18" s="6">
        <v>5.8996000000000004</v>
      </c>
    </row>
    <row r="50" spans="3:8" x14ac:dyDescent="0.25">
      <c r="C50" s="3" t="s">
        <v>19</v>
      </c>
      <c r="D50" s="4" t="s">
        <v>22</v>
      </c>
      <c r="E50" s="4" t="s">
        <v>27</v>
      </c>
      <c r="F50" s="7" t="s">
        <v>28</v>
      </c>
      <c r="G50" s="15" t="s">
        <v>34</v>
      </c>
      <c r="H50" s="15" t="s">
        <v>35</v>
      </c>
    </row>
    <row r="51" spans="3:8" x14ac:dyDescent="0.25">
      <c r="C51" s="11" t="s">
        <v>11</v>
      </c>
      <c r="D51" s="5">
        <v>5.1499999999999997E-2</v>
      </c>
      <c r="E51" s="5">
        <v>3.1800000000000002E-2</v>
      </c>
      <c r="F51" s="8">
        <v>1.5199</v>
      </c>
      <c r="G51" s="16">
        <f xml:space="preserve"> F51 - D51</f>
        <v>1.4683999999999999</v>
      </c>
      <c r="H51" s="16">
        <f xml:space="preserve"> D51 - E51</f>
        <v>1.9699999999999995E-2</v>
      </c>
    </row>
    <row r="52" spans="3:8" x14ac:dyDescent="0.25">
      <c r="C52" s="12" t="s">
        <v>14</v>
      </c>
      <c r="D52" s="6">
        <v>-2.2499999999999999E-2</v>
      </c>
      <c r="E52" s="6">
        <v>-0.34749999999999998</v>
      </c>
      <c r="F52" s="9">
        <v>1.6500000000000001E-2</v>
      </c>
      <c r="G52">
        <f t="shared" ref="G52:G54" si="0" xml:space="preserve"> F52 - D52</f>
        <v>3.9E-2</v>
      </c>
      <c r="H52">
        <f t="shared" ref="H52:H54" si="1" xml:space="preserve"> D52 - E52</f>
        <v>0.32499999999999996</v>
      </c>
    </row>
    <row r="53" spans="3:8" x14ac:dyDescent="0.25">
      <c r="C53" s="11" t="s">
        <v>15</v>
      </c>
      <c r="D53" s="5">
        <v>3.3999999999999998E-3</v>
      </c>
      <c r="E53" s="5">
        <v>1.9E-3</v>
      </c>
      <c r="F53" s="8">
        <v>1.1086</v>
      </c>
      <c r="G53" s="16">
        <f t="shared" si="0"/>
        <v>1.1052</v>
      </c>
      <c r="H53" s="16">
        <f t="shared" si="1"/>
        <v>1.4999999999999998E-3</v>
      </c>
    </row>
    <row r="54" spans="3:8" x14ac:dyDescent="0.25">
      <c r="C54" s="12" t="s">
        <v>16</v>
      </c>
      <c r="D54" s="6">
        <v>0.84730000000000005</v>
      </c>
      <c r="E54" s="6">
        <v>-0.20080000000000001</v>
      </c>
      <c r="F54" s="9">
        <v>1.8682000000000001</v>
      </c>
      <c r="G54">
        <f t="shared" si="0"/>
        <v>1.0209000000000001</v>
      </c>
      <c r="H54">
        <f t="shared" si="1"/>
        <v>1.0481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E5A5-2D37-4B06-83C6-5735B2C64655}">
  <dimension ref="A1:J1"/>
  <sheetViews>
    <sheetView showGridLines="0" showRowColHeaders="0" tabSelected="1" workbookViewId="0">
      <selection activeCell="P74" sqref="P74"/>
    </sheetView>
  </sheetViews>
  <sheetFormatPr defaultRowHeight="15" x14ac:dyDescent="0.25"/>
  <sheetData>
    <row r="1" spans="1:10" ht="31.5" x14ac:dyDescent="0.25">
      <c r="A1" s="18" t="s">
        <v>36</v>
      </c>
      <c r="B1" s="17"/>
      <c r="C1" s="17"/>
      <c r="D1" s="17"/>
      <c r="E1" s="17"/>
      <c r="F1" s="17"/>
      <c r="G1" s="17"/>
      <c r="H1" s="17"/>
      <c r="I1" s="17"/>
      <c r="J1" s="17"/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4209-8233-49EA-A026-5E74CA573713}">
  <dimension ref="A3:D34"/>
  <sheetViews>
    <sheetView workbookViewId="0">
      <selection activeCell="D9" sqref="D9"/>
    </sheetView>
  </sheetViews>
  <sheetFormatPr defaultRowHeight="15" x14ac:dyDescent="0.25"/>
  <cols>
    <col min="1" max="1" width="29.140625" bestFit="1" customWidth="1"/>
    <col min="2" max="2" width="17.28515625" bestFit="1" customWidth="1"/>
    <col min="3" max="4" width="12" bestFit="1" customWidth="1"/>
  </cols>
  <sheetData>
    <row r="3" spans="1:4" x14ac:dyDescent="0.25">
      <c r="A3" s="13" t="s">
        <v>33</v>
      </c>
      <c r="B3" s="13" t="s">
        <v>32</v>
      </c>
    </row>
    <row r="4" spans="1:4" x14ac:dyDescent="0.25">
      <c r="A4" s="13" t="s">
        <v>30</v>
      </c>
      <c r="B4">
        <v>0</v>
      </c>
      <c r="C4">
        <v>1</v>
      </c>
      <c r="D4" t="s">
        <v>31</v>
      </c>
    </row>
    <row r="5" spans="1:4" x14ac:dyDescent="0.25">
      <c r="A5" s="14">
        <v>43678</v>
      </c>
      <c r="B5" s="1">
        <v>8.8084379000000004E-2</v>
      </c>
      <c r="C5" s="1">
        <v>8.3936801000000005E-2</v>
      </c>
      <c r="D5" s="1">
        <v>8.6010589999999998E-2</v>
      </c>
    </row>
    <row r="6" spans="1:4" x14ac:dyDescent="0.25">
      <c r="A6" s="14">
        <v>43679</v>
      </c>
      <c r="B6" s="1">
        <v>6.3008630999999996E-2</v>
      </c>
      <c r="C6" s="1">
        <v>0.14537255700000001</v>
      </c>
      <c r="D6" s="1">
        <v>0.104190594</v>
      </c>
    </row>
    <row r="7" spans="1:4" x14ac:dyDescent="0.25">
      <c r="A7" s="14">
        <v>43680</v>
      </c>
      <c r="B7" s="1">
        <v>5.7160417999999998E-2</v>
      </c>
      <c r="C7" s="1">
        <v>7.3303741000000006E-2</v>
      </c>
      <c r="D7" s="1">
        <v>6.5232079499999998E-2</v>
      </c>
    </row>
    <row r="8" spans="1:4" x14ac:dyDescent="0.25">
      <c r="A8" s="14">
        <v>43681</v>
      </c>
      <c r="B8" s="1">
        <v>0.11092985299999999</v>
      </c>
      <c r="C8" s="1">
        <v>8.0645161000000007E-2</v>
      </c>
      <c r="D8" s="1">
        <v>9.5787506999999994E-2</v>
      </c>
    </row>
    <row r="9" spans="1:4" x14ac:dyDescent="0.25">
      <c r="A9" s="14">
        <v>43682</v>
      </c>
      <c r="B9" s="1"/>
      <c r="C9" s="1">
        <v>0.13099095999999999</v>
      </c>
      <c r="D9" s="1">
        <v>0.13099095999999999</v>
      </c>
    </row>
    <row r="10" spans="1:4" x14ac:dyDescent="0.25">
      <c r="A10" s="14">
        <v>43683</v>
      </c>
      <c r="B10" s="1">
        <v>0.18967229399999999</v>
      </c>
      <c r="C10" s="1">
        <v>6.5170939999999997E-2</v>
      </c>
      <c r="D10" s="1">
        <v>0.12742161699999999</v>
      </c>
    </row>
    <row r="11" spans="1:4" x14ac:dyDescent="0.25">
      <c r="A11" s="14">
        <v>43684</v>
      </c>
      <c r="B11" s="1">
        <v>0.18901515199999999</v>
      </c>
      <c r="C11" s="1">
        <v>0.21085050899999999</v>
      </c>
      <c r="D11" s="1">
        <v>0.19993283049999999</v>
      </c>
    </row>
    <row r="12" spans="1:4" x14ac:dyDescent="0.25">
      <c r="A12" s="14">
        <v>43685</v>
      </c>
      <c r="B12" s="1">
        <v>6.3636364000000001E-2</v>
      </c>
      <c r="C12" s="1">
        <v>5.9994432E-2</v>
      </c>
      <c r="D12" s="1">
        <v>6.1815398000000001E-2</v>
      </c>
    </row>
    <row r="13" spans="1:4" x14ac:dyDescent="0.25">
      <c r="A13" s="14">
        <v>43686</v>
      </c>
      <c r="B13" s="1">
        <v>8.0832527000000001E-2</v>
      </c>
      <c r="C13" s="1">
        <v>0.102312629</v>
      </c>
      <c r="D13" s="1">
        <v>9.1572578000000002E-2</v>
      </c>
    </row>
    <row r="14" spans="1:4" x14ac:dyDescent="0.25">
      <c r="A14" s="14">
        <v>43687</v>
      </c>
      <c r="B14" s="1">
        <v>0.32235397500000001</v>
      </c>
      <c r="C14" s="1">
        <v>3.3846154000000003E-2</v>
      </c>
      <c r="D14" s="1">
        <v>0.17810006450000002</v>
      </c>
    </row>
    <row r="15" spans="1:4" x14ac:dyDescent="0.25">
      <c r="A15" s="14">
        <v>43688</v>
      </c>
      <c r="B15" s="1">
        <v>5.8375323E-2</v>
      </c>
      <c r="C15" s="1">
        <v>0.178133333</v>
      </c>
      <c r="D15" s="1">
        <v>0.11825432800000001</v>
      </c>
    </row>
    <row r="16" spans="1:4" x14ac:dyDescent="0.25">
      <c r="A16" s="14">
        <v>43689</v>
      </c>
      <c r="B16" s="1">
        <v>0.265285667</v>
      </c>
      <c r="C16" s="1">
        <v>8.5793804000000001E-2</v>
      </c>
      <c r="D16" s="1">
        <v>0.17553973550000002</v>
      </c>
    </row>
    <row r="17" spans="1:4" x14ac:dyDescent="0.25">
      <c r="A17" s="14">
        <v>43690</v>
      </c>
      <c r="B17" s="1">
        <v>0.116875191</v>
      </c>
      <c r="C17" s="1">
        <v>0.107293869</v>
      </c>
      <c r="D17" s="1">
        <v>0.11208453</v>
      </c>
    </row>
    <row r="18" spans="1:4" x14ac:dyDescent="0.25">
      <c r="A18" s="14">
        <v>43691</v>
      </c>
      <c r="B18" s="1">
        <v>0.17429772199999999</v>
      </c>
      <c r="C18" s="1">
        <v>8.5149010999999997E-2</v>
      </c>
      <c r="D18" s="1">
        <v>0.12972336649999999</v>
      </c>
    </row>
    <row r="19" spans="1:4" x14ac:dyDescent="0.25">
      <c r="A19" s="14">
        <v>43692</v>
      </c>
      <c r="B19" s="1">
        <v>7.4754901999999998E-2</v>
      </c>
      <c r="C19" s="1">
        <v>7.9711595999999996E-2</v>
      </c>
      <c r="D19" s="1">
        <v>7.7233249000000004E-2</v>
      </c>
    </row>
    <row r="20" spans="1:4" x14ac:dyDescent="0.25">
      <c r="A20" s="14">
        <v>43693</v>
      </c>
      <c r="B20" s="1">
        <v>8.3843797999999997E-2</v>
      </c>
      <c r="C20" s="1">
        <v>7.1617647000000006E-2</v>
      </c>
      <c r="D20" s="1">
        <v>7.7730722500000002E-2</v>
      </c>
    </row>
    <row r="21" spans="1:4" x14ac:dyDescent="0.25">
      <c r="A21" s="14">
        <v>43694</v>
      </c>
      <c r="B21" s="1">
        <v>3.3494267000000001E-2</v>
      </c>
      <c r="C21" s="1">
        <v>3.0088495999999999E-2</v>
      </c>
      <c r="D21" s="1">
        <v>3.17913815E-2</v>
      </c>
    </row>
    <row r="22" spans="1:4" x14ac:dyDescent="0.25">
      <c r="A22" s="14">
        <v>43695</v>
      </c>
      <c r="B22" s="1">
        <v>3.3503378E-2</v>
      </c>
      <c r="C22" s="1">
        <v>3.7197858E-2</v>
      </c>
      <c r="D22" s="1">
        <v>3.5350618E-2</v>
      </c>
    </row>
    <row r="23" spans="1:4" x14ac:dyDescent="0.25">
      <c r="A23" s="14">
        <v>43696</v>
      </c>
      <c r="B23" s="1">
        <v>0.14624932500000001</v>
      </c>
      <c r="C23" s="1">
        <v>6.7218064999999994E-2</v>
      </c>
      <c r="D23" s="1">
        <v>0.106733695</v>
      </c>
    </row>
    <row r="24" spans="1:4" x14ac:dyDescent="0.25">
      <c r="A24" s="14">
        <v>43697</v>
      </c>
      <c r="B24" s="1">
        <v>0.11598138099999999</v>
      </c>
      <c r="C24" s="1">
        <v>0.120661157</v>
      </c>
      <c r="D24" s="1">
        <v>0.11832126900000001</v>
      </c>
    </row>
    <row r="25" spans="1:4" x14ac:dyDescent="0.25">
      <c r="A25" s="14">
        <v>43698</v>
      </c>
      <c r="B25" s="1">
        <v>0.14057283400000001</v>
      </c>
      <c r="C25" s="1">
        <v>4.4781575999999997E-2</v>
      </c>
      <c r="D25" s="1">
        <v>9.2677204999999999E-2</v>
      </c>
    </row>
    <row r="26" spans="1:4" x14ac:dyDescent="0.25">
      <c r="A26" s="14">
        <v>43699</v>
      </c>
      <c r="B26" s="1">
        <v>5.6554143000000001E-2</v>
      </c>
      <c r="C26" s="1">
        <v>6.2288422000000003E-2</v>
      </c>
      <c r="D26" s="1">
        <v>5.9421282500000006E-2</v>
      </c>
    </row>
    <row r="27" spans="1:4" x14ac:dyDescent="0.25">
      <c r="A27" s="14">
        <v>43700</v>
      </c>
      <c r="B27" s="1">
        <v>0.173696145</v>
      </c>
      <c r="C27" s="1">
        <v>9.3165255000000002E-2</v>
      </c>
      <c r="D27" s="1">
        <v>0.13343070000000001</v>
      </c>
    </row>
    <row r="28" spans="1:4" x14ac:dyDescent="0.25">
      <c r="A28" s="14">
        <v>43701</v>
      </c>
      <c r="B28" s="1">
        <v>0.14320685399999999</v>
      </c>
      <c r="C28" s="1">
        <v>3.7590832999999997E-2</v>
      </c>
      <c r="D28" s="1">
        <v>9.0398843499999992E-2</v>
      </c>
    </row>
    <row r="29" spans="1:4" x14ac:dyDescent="0.25">
      <c r="A29" s="14">
        <v>43702</v>
      </c>
      <c r="B29" s="1">
        <v>9.1166744999999993E-2</v>
      </c>
      <c r="C29" s="1">
        <v>0.181034483</v>
      </c>
      <c r="D29" s="1">
        <v>0.13610061400000001</v>
      </c>
    </row>
    <row r="30" spans="1:4" x14ac:dyDescent="0.25">
      <c r="A30" s="14">
        <v>43703</v>
      </c>
      <c r="B30" s="1">
        <v>4.6182152999999997E-2</v>
      </c>
      <c r="C30" s="1">
        <v>7.4345549999999996E-2</v>
      </c>
      <c r="D30" s="1">
        <v>6.0263851499999993E-2</v>
      </c>
    </row>
    <row r="31" spans="1:4" x14ac:dyDescent="0.25">
      <c r="A31" s="14">
        <v>43704</v>
      </c>
      <c r="B31" s="1">
        <v>0.12244484899999999</v>
      </c>
      <c r="C31" s="1">
        <v>0.11981352000000001</v>
      </c>
      <c r="D31" s="1">
        <v>0.1211291845</v>
      </c>
    </row>
    <row r="32" spans="1:4" x14ac:dyDescent="0.25">
      <c r="A32" s="14">
        <v>43705</v>
      </c>
      <c r="B32" s="1">
        <v>0.102274535</v>
      </c>
      <c r="C32" s="1">
        <v>8.8531434000000006E-2</v>
      </c>
      <c r="D32" s="1">
        <v>9.540298450000001E-2</v>
      </c>
    </row>
    <row r="33" spans="1:4" x14ac:dyDescent="0.25">
      <c r="A33" s="14">
        <v>43706</v>
      </c>
      <c r="B33" s="1">
        <v>4.1097575999999997E-2</v>
      </c>
      <c r="C33" s="1">
        <v>8.8485165000000005E-2</v>
      </c>
      <c r="D33" s="1">
        <v>6.4791370500000001E-2</v>
      </c>
    </row>
    <row r="34" spans="1:4" x14ac:dyDescent="0.25">
      <c r="A34" s="14">
        <v>43707</v>
      </c>
      <c r="B34" s="1">
        <v>0.14383855700000001</v>
      </c>
      <c r="C34" s="1">
        <v>0.13002955199999999</v>
      </c>
      <c r="D34" s="1">
        <v>0.13693405450000001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59BEBE-5E94-47A1-B622-853AEA5DDA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data_source</vt:lpstr>
      <vt:lpstr>stat_results</vt:lpstr>
      <vt:lpstr>template</vt:lpstr>
      <vt:lpstr>Executive_Summary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deena nizami</dc:creator>
  <cp:lastModifiedBy>deena nizami</cp:lastModifiedBy>
  <dcterms:created xsi:type="dcterms:W3CDTF">2026-01-08T18:11:55Z</dcterms:created>
  <dcterms:modified xsi:type="dcterms:W3CDTF">2026-01-08T20:58:31Z</dcterms:modified>
</cp:coreProperties>
</file>